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_rels/drawing1.xml.rels" ContentType="application/vnd.openxmlformats-package.relationships+xml"/>
  <Override PartName="/xl/drawings/vmlDrawing5.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6.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Dashboard" sheetId="2" state="visible" r:id="rId4"/>
    <sheet name="Resource" sheetId="3" state="visible" r:id="rId5"/>
    <sheet name="AFF" sheetId="4" state="visible" r:id="rId6"/>
    <sheet name="Public_Admin" sheetId="5" state="visible" r:id="rId7"/>
    <sheet name="Other_Sectors" sheetId="6" state="visible" r:id="rId8"/>
    <sheet name="History" sheetId="7" state="visible" r:id="rId9"/>
    <sheet name="Model_Check" sheetId="8" state="visible" r:id="rId10"/>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D24" authorId="0">
      <text>
        <r>
          <rPr>
            <sz val="10"/>
            <rFont val="Arial"/>
            <family val="2"/>
          </rPr>
          <t xml:space="preserve">Forecasting model IPD!AI37: 2024 IPD grown by the 2025 GDP deflator assumption (Price Data &amp; Assumptions row 108)</t>
        </r>
      </text>
    </comment>
    <comment ref="D29" authorId="0">
      <text>
        <r>
          <rPr>
            <sz val="10"/>
            <rFont val="Arial"/>
            <family val="2"/>
          </rPr>
          <t xml:space="preserve">'GDP Constant Price GVA'!AH37 in the forecasting model</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J13" authorId="0">
      <text>
        <r>
          <rPr>
            <sz val="10"/>
            <rFont val="Arial"/>
            <family val="2"/>
          </rPr>
          <t xml:space="preserve">No DoT volumes for household / small-scale mining. Model assumes 3.1% real growth (its historical rate). Change if you have better information.</t>
        </r>
      </text>
    </comment>
    <comment ref="K5" authorId="0">
      <text>
        <r>
          <rPr>
            <sz val="10"/>
            <rFont val="Arial"/>
            <family val="2"/>
          </rPr>
          <t xml:space="preserve">2024 constant-price GVA, NSO (Resource Sector tab)</t>
        </r>
      </text>
    </comment>
    <comment ref="K6" authorId="0">
      <text>
        <r>
          <rPr>
            <sz val="10"/>
            <rFont val="Arial"/>
            <family val="2"/>
          </rPr>
          <t xml:space="preserve">2024 constant-price GVA, NSO (Resource Sector tab)</t>
        </r>
      </text>
    </comment>
    <comment ref="K7" authorId="0">
      <text>
        <r>
          <rPr>
            <sz val="10"/>
            <rFont val="Arial"/>
            <family val="2"/>
          </rPr>
          <t xml:space="preserve">2024 constant-price GVA, NSO (Resource Sector tab)</t>
        </r>
      </text>
    </comment>
    <comment ref="K8" authorId="0">
      <text>
        <r>
          <rPr>
            <sz val="10"/>
            <rFont val="Arial"/>
            <family val="2"/>
          </rPr>
          <t xml:space="preserve">2024 constant-price GVA, NSO (Resource Sector tab)</t>
        </r>
      </text>
    </comment>
    <comment ref="K9" authorId="0">
      <text>
        <r>
          <rPr>
            <sz val="10"/>
            <rFont val="Arial"/>
            <family val="2"/>
          </rPr>
          <t xml:space="preserve">2024 constant-price GVA, NSO (Resource Sector tab)</t>
        </r>
      </text>
    </comment>
    <comment ref="K10" authorId="0">
      <text>
        <r>
          <rPr>
            <sz val="10"/>
            <rFont val="Arial"/>
            <family val="2"/>
          </rPr>
          <t xml:space="preserve">2024 constant-price GVA, NSO (Resource Sector tab)</t>
        </r>
      </text>
    </comment>
    <comment ref="K11" authorId="0">
      <text>
        <r>
          <rPr>
            <sz val="10"/>
            <rFont val="Arial"/>
            <family val="2"/>
          </rPr>
          <t xml:space="preserve">2024 constant-price GVA, NSO (Resource Sector tab)</t>
        </r>
      </text>
    </comment>
    <comment ref="K12" authorId="0">
      <text>
        <r>
          <rPr>
            <sz val="10"/>
            <rFont val="Arial"/>
            <family val="2"/>
          </rPr>
          <t xml:space="preserve">2024 constant-price GVA, NSO (Resource Sector tab)</t>
        </r>
      </text>
    </comment>
    <comment ref="K13" authorId="0">
      <text>
        <r>
          <rPr>
            <sz val="10"/>
            <rFont val="Arial"/>
            <family val="2"/>
          </rPr>
          <t xml:space="preserve">2024 constant-price GVA, NSO (Resource Sector tab)</t>
        </r>
      </text>
    </comment>
    <comment ref="N5" authorId="0">
      <text>
        <r>
          <rPr>
            <sz val="10"/>
            <rFont val="Arial"/>
            <family val="2"/>
          </rPr>
          <t xml:space="preserve">2025 price growth ratio from 'Price Data &amp; Assumptions' in the forecasting model (1.10 = prices up 10%). Condensate uses Brent crude as a proxy.</t>
        </r>
      </text>
    </comment>
    <comment ref="N6" authorId="0">
      <text>
        <r>
          <rPr>
            <sz val="10"/>
            <rFont val="Arial"/>
            <family val="2"/>
          </rPr>
          <t xml:space="preserve">2025 price growth ratio from 'Price Data &amp; Assumptions' in the forecasting model (1.10 = prices up 10%). Condensate uses Brent crude as a proxy.</t>
        </r>
      </text>
    </comment>
    <comment ref="N7" authorId="0">
      <text>
        <r>
          <rPr>
            <sz val="10"/>
            <rFont val="Arial"/>
            <family val="2"/>
          </rPr>
          <t xml:space="preserve">2025 price growth ratio from 'Price Data &amp; Assumptions' in the forecasting model (1.10 = prices up 10%). Condensate uses Brent crude as a proxy.</t>
        </r>
      </text>
    </comment>
    <comment ref="N8" authorId="0">
      <text>
        <r>
          <rPr>
            <sz val="10"/>
            <rFont val="Arial"/>
            <family val="2"/>
          </rPr>
          <t xml:space="preserve">2025 price growth ratio from 'Price Data &amp; Assumptions' in the forecasting model (1.10 = prices up 10%). Condensate uses Brent crude as a proxy.</t>
        </r>
      </text>
    </comment>
    <comment ref="N9" authorId="0">
      <text>
        <r>
          <rPr>
            <sz val="10"/>
            <rFont val="Arial"/>
            <family val="2"/>
          </rPr>
          <t xml:space="preserve">2025 price growth ratio from 'Price Data &amp; Assumptions' in the forecasting model (1.10 = prices up 10%). Condensate uses Brent crude as a proxy.</t>
        </r>
      </text>
    </comment>
    <comment ref="N10" authorId="0">
      <text>
        <r>
          <rPr>
            <sz val="10"/>
            <rFont val="Arial"/>
            <family val="2"/>
          </rPr>
          <t xml:space="preserve">2025 price growth ratio from 'Price Data &amp; Assumptions' in the forecasting model (1.10 = prices up 10%). Condensate uses Brent crude as a proxy.</t>
        </r>
      </text>
    </comment>
    <comment ref="N11" authorId="0">
      <text>
        <r>
          <rPr>
            <sz val="10"/>
            <rFont val="Arial"/>
            <family val="2"/>
          </rPr>
          <t xml:space="preserve">2025 price growth ratio from 'Price Data &amp; Assumptions' in the forecasting model (1.10 = prices up 10%). Condensate uses Brent crude as a proxy.</t>
        </r>
      </text>
    </comment>
    <comment ref="N12" authorId="0">
      <text>
        <r>
          <rPr>
            <sz val="10"/>
            <rFont val="Arial"/>
            <family val="2"/>
          </rPr>
          <t xml:space="preserve">2025 price growth ratio from 'Price Data &amp; Assumptions' in the forecasting model (1.10 = prices up 10%). Condensate uses Brent crude as a proxy.</t>
        </r>
      </text>
    </comment>
    <comment ref="N13" authorId="0">
      <text>
        <r>
          <rPr>
            <sz val="10"/>
            <rFont val="Arial"/>
            <family val="2"/>
          </rPr>
          <t xml:space="preserve">2025 price growth ratio from 'Price Data &amp; Assumptions' in the forecasting model (1.10 = prices up 10%). Condensate uses Brent crude as a proxy.</t>
        </r>
      </text>
    </comment>
    <comment ref="O5" authorId="0">
      <text>
        <r>
          <rPr>
            <sz val="10"/>
            <rFont val="Arial"/>
            <family val="2"/>
          </rPr>
          <t xml:space="preserve">2024 current-price GVA, NSO</t>
        </r>
      </text>
    </comment>
    <comment ref="O6" authorId="0">
      <text>
        <r>
          <rPr>
            <sz val="10"/>
            <rFont val="Arial"/>
            <family val="2"/>
          </rPr>
          <t xml:space="preserve">2024 current-price GVA, NSO</t>
        </r>
      </text>
    </comment>
    <comment ref="O7" authorId="0">
      <text>
        <r>
          <rPr>
            <sz val="10"/>
            <rFont val="Arial"/>
            <family val="2"/>
          </rPr>
          <t xml:space="preserve">2024 current-price GVA, NSO</t>
        </r>
      </text>
    </comment>
    <comment ref="O8" authorId="0">
      <text>
        <r>
          <rPr>
            <sz val="10"/>
            <rFont val="Arial"/>
            <family val="2"/>
          </rPr>
          <t xml:space="preserve">2024 current-price GVA, NSO</t>
        </r>
      </text>
    </comment>
    <comment ref="O9" authorId="0">
      <text>
        <r>
          <rPr>
            <sz val="10"/>
            <rFont val="Arial"/>
            <family val="2"/>
          </rPr>
          <t xml:space="preserve">2024 current-price GVA, NSO</t>
        </r>
      </text>
    </comment>
    <comment ref="O10" authorId="0">
      <text>
        <r>
          <rPr>
            <sz val="10"/>
            <rFont val="Arial"/>
            <family val="2"/>
          </rPr>
          <t xml:space="preserve">2024 current-price GVA, NSO</t>
        </r>
      </text>
    </comment>
    <comment ref="O11" authorId="0">
      <text>
        <r>
          <rPr>
            <sz val="10"/>
            <rFont val="Arial"/>
            <family val="2"/>
          </rPr>
          <t xml:space="preserve">2024 current-price GVA, NSO</t>
        </r>
      </text>
    </comment>
    <comment ref="O12" authorId="0">
      <text>
        <r>
          <rPr>
            <sz val="10"/>
            <rFont val="Arial"/>
            <family val="2"/>
          </rPr>
          <t xml:space="preserve">2024 current-price GVA, NSO</t>
        </r>
      </text>
    </comment>
    <comment ref="O13" authorId="0">
      <text>
        <r>
          <rPr>
            <sz val="10"/>
            <rFont val="Arial"/>
            <family val="2"/>
          </rPr>
          <t xml:space="preserve">2024 current-price GVA, NSO</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E3" authorId="0">
      <text>
        <r>
          <rPr>
            <sz val="10"/>
            <rFont val="Arial"/>
            <family val="2"/>
          </rPr>
          <t xml:space="preserve">'Other Assumptions'!AI18 in the forecasting model (population growth 2025)</t>
        </r>
      </text>
    </comment>
    <comment ref="E6" authorId="0">
      <text>
        <r>
          <rPr>
            <sz val="10"/>
            <rFont val="Arial"/>
            <family val="2"/>
          </rPr>
          <t xml:space="preserve">2025 volume as entered in the forecasting model's AFF tab (commodity boards / industry)</t>
        </r>
      </text>
    </comment>
    <comment ref="E7" authorId="0">
      <text>
        <r>
          <rPr>
            <sz val="10"/>
            <rFont val="Arial"/>
            <family val="2"/>
          </rPr>
          <t xml:space="preserve">2025 volume as entered in the forecasting model's AFF tab (commodity boards / industry)</t>
        </r>
      </text>
    </comment>
    <comment ref="E8" authorId="0">
      <text>
        <r>
          <rPr>
            <sz val="10"/>
            <rFont val="Arial"/>
            <family val="2"/>
          </rPr>
          <t xml:space="preserve">2025 volume as entered in the forecasting model's AFF tab (commodity boards / industry)</t>
        </r>
      </text>
    </comment>
    <comment ref="E9" authorId="0">
      <text>
        <r>
          <rPr>
            <sz val="10"/>
            <rFont val="Arial"/>
            <family val="2"/>
          </rPr>
          <t xml:space="preserve">2025 volume as entered in the forecasting model's AFF tab (commodity boards / industry)</t>
        </r>
      </text>
    </comment>
    <comment ref="E10" authorId="0">
      <text>
        <r>
          <rPr>
            <sz val="10"/>
            <rFont val="Arial"/>
            <family val="2"/>
          </rPr>
          <t xml:space="preserve">2025 volume as entered in the forecasting model's AFF tab (commodity boards / industry)</t>
        </r>
      </text>
    </comment>
    <comment ref="E11" authorId="0">
      <text>
        <r>
          <rPr>
            <sz val="10"/>
            <rFont val="Arial"/>
            <family val="2"/>
          </rPr>
          <t xml:space="preserve">2025 volume as entered in the forecasting model's AFF tab (commodity boards / industry)</t>
        </r>
      </text>
    </comment>
    <comment ref="E12" authorId="0">
      <text>
        <r>
          <rPr>
            <sz val="10"/>
            <rFont val="Arial"/>
            <family val="2"/>
          </rPr>
          <t xml:space="preserve">2025 volume as entered in the forecasting model's AFF tab (commodity boards / industry)</t>
        </r>
      </text>
    </comment>
    <comment ref="E13" authorId="0">
      <text>
        <r>
          <rPr>
            <sz val="10"/>
            <rFont val="Arial"/>
            <family val="2"/>
          </rPr>
          <t xml:space="preserve">2025 volume as entered in the forecasting model's AFF tab (commodity boards / industry)</t>
        </r>
      </text>
    </comment>
    <comment ref="E14" authorId="0">
      <text>
        <r>
          <rPr>
            <sz val="10"/>
            <rFont val="Arial"/>
            <family val="2"/>
          </rPr>
          <t xml:space="preserve">2025 volume as entered in the forecasting model's AFF tab (commodity boards / industry)</t>
        </r>
      </text>
    </comment>
    <comment ref="F15" authorId="0">
      <text>
        <r>
          <rPr>
            <sz val="10"/>
            <rFont val="Arial"/>
            <family val="2"/>
          </rPr>
          <t xml:space="preserve">Formal livestock: model assumes nominal +15% deflated by livestock price growth (AFF tab rows 151-155)</t>
        </r>
      </text>
    </comment>
    <comment ref="G6" authorId="0">
      <text>
        <r>
          <rPr>
            <sz val="10"/>
            <rFont val="Arial"/>
            <family val="2"/>
          </rPr>
          <t xml:space="preserve">2024 constant-price GVA, NSO (AFF tab)</t>
        </r>
      </text>
    </comment>
    <comment ref="G7" authorId="0">
      <text>
        <r>
          <rPr>
            <sz val="10"/>
            <rFont val="Arial"/>
            <family val="2"/>
          </rPr>
          <t xml:space="preserve">2024 constant-price GVA, NSO (AFF tab)</t>
        </r>
      </text>
    </comment>
    <comment ref="G8" authorId="0">
      <text>
        <r>
          <rPr>
            <sz val="10"/>
            <rFont val="Arial"/>
            <family val="2"/>
          </rPr>
          <t xml:space="preserve">2024 constant-price GVA, NSO (AFF tab)</t>
        </r>
      </text>
    </comment>
    <comment ref="G9" authorId="0">
      <text>
        <r>
          <rPr>
            <sz val="10"/>
            <rFont val="Arial"/>
            <family val="2"/>
          </rPr>
          <t xml:space="preserve">2024 constant-price GVA, NSO (AFF tab)</t>
        </r>
      </text>
    </comment>
    <comment ref="G10" authorId="0">
      <text>
        <r>
          <rPr>
            <sz val="10"/>
            <rFont val="Arial"/>
            <family val="2"/>
          </rPr>
          <t xml:space="preserve">2024 constant-price GVA, NSO (AFF tab)</t>
        </r>
      </text>
    </comment>
    <comment ref="G11" authorId="0">
      <text>
        <r>
          <rPr>
            <sz val="10"/>
            <rFont val="Arial"/>
            <family val="2"/>
          </rPr>
          <t xml:space="preserve">2024 constant-price GVA, NSO (AFF tab)</t>
        </r>
      </text>
    </comment>
    <comment ref="G12" authorId="0">
      <text>
        <r>
          <rPr>
            <sz val="10"/>
            <rFont val="Arial"/>
            <family val="2"/>
          </rPr>
          <t xml:space="preserve">2024 constant-price GVA, NSO (AFF tab)</t>
        </r>
      </text>
    </comment>
    <comment ref="G13" authorId="0">
      <text>
        <r>
          <rPr>
            <sz val="10"/>
            <rFont val="Arial"/>
            <family val="2"/>
          </rPr>
          <t xml:space="preserve">2024 constant-price GVA, NSO (AFF tab)</t>
        </r>
      </text>
    </comment>
    <comment ref="G14" authorId="0">
      <text>
        <r>
          <rPr>
            <sz val="10"/>
            <rFont val="Arial"/>
            <family val="2"/>
          </rPr>
          <t xml:space="preserve">2024 constant-price GVA, NSO (AFF tab)</t>
        </r>
      </text>
    </comment>
    <comment ref="G15" authorId="0">
      <text>
        <r>
          <rPr>
            <sz val="10"/>
            <rFont val="Arial"/>
            <family val="2"/>
          </rPr>
          <t xml:space="preserve">2024 constant-price GVA, NSO (AFF tab)</t>
        </r>
      </text>
    </comment>
    <comment ref="G16" authorId="0">
      <text>
        <r>
          <rPr>
            <sz val="10"/>
            <rFont val="Arial"/>
            <family val="2"/>
          </rPr>
          <t xml:space="preserve">2024 constant-price GVA, NSO (AFF tab)</t>
        </r>
      </text>
    </comment>
    <comment ref="G17" authorId="0">
      <text>
        <r>
          <rPr>
            <sz val="10"/>
            <rFont val="Arial"/>
            <family val="2"/>
          </rPr>
          <t xml:space="preserve">2024 constant-price GVA, NSO (AFF tab)</t>
        </r>
      </text>
    </comment>
    <comment ref="G18" authorId="0">
      <text>
        <r>
          <rPr>
            <sz val="10"/>
            <rFont val="Arial"/>
            <family val="2"/>
          </rPr>
          <t xml:space="preserve">2024 constant-price GVA, NSO (AFF tab)</t>
        </r>
      </text>
    </comment>
    <comment ref="G19" authorId="0">
      <text>
        <r>
          <rPr>
            <sz val="10"/>
            <rFont val="Arial"/>
            <family val="2"/>
          </rPr>
          <t xml:space="preserve">2024 constant-price GVA, NSO (AFF tab)</t>
        </r>
      </text>
    </comment>
    <comment ref="G20" authorId="0">
      <text>
        <r>
          <rPr>
            <sz val="10"/>
            <rFont val="Arial"/>
            <family val="2"/>
          </rPr>
          <t xml:space="preserve">2024 constant-price GVA, NSO (AFF tab)</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Government Expenditure tab, forecasting model</t>
        </r>
      </text>
    </comment>
    <comment ref="B5" authorId="0">
      <text>
        <r>
          <rPr>
            <sz val="10"/>
            <rFont val="Arial"/>
            <family val="2"/>
          </rPr>
          <t xml:space="preserve">Government Expenditure tab (2025 budget), forecasting model</t>
        </r>
      </text>
    </comment>
    <comment ref="B7" authorId="0">
      <text>
        <r>
          <rPr>
            <sz val="10"/>
            <rFont val="Arial"/>
            <family val="2"/>
          </rPr>
          <t xml:space="preserve">'Other Assumptions'!AI20</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D3" authorId="0">
      <text>
        <r>
          <rPr>
            <sz val="10"/>
            <rFont val="Arial"/>
            <family val="2"/>
          </rPr>
          <t xml:space="preserve">'Summary and Charts'!AI50 in the forecasting model (implied population growth)</t>
        </r>
      </text>
    </comment>
    <comment ref="E26" authorId="0">
      <text>
        <r>
          <rPr>
            <sz val="10"/>
            <rFont val="Arial"/>
            <family val="2"/>
          </rPr>
          <t xml:space="preserve">From the forecasting model: 2025 nominal taxes less subsidies deflated by the tax IPD</t>
        </r>
      </text>
    </comment>
  </commentList>
</comments>
</file>

<file path=xl/sharedStrings.xml><?xml version="1.0" encoding="utf-8"?>
<sst xmlns="http://schemas.openxmlformats.org/spreadsheetml/2006/main" count="414" uniqueCount="320">
  <si>
    <t xml:space="preserve">GDP Model - Analysis Dashboard (2025 estimate)</t>
  </si>
  <si>
    <t xml:space="preserve">A simple companion to GDP_model_forecasting_2025.xlsx and the 'GDP Model - Theory and Forecast' slides</t>
  </si>
  <si>
    <t xml:space="preserve">WHAT THIS WORKBOOK DOES</t>
  </si>
  <si>
    <t xml:space="preserve">It rebuilds the 2025 constant-price (real) GDP estimate step by step, using the same method as the forecasting model, so you can see where every number comes from. 2024 is the base (actual NSO numbers); 2025 is estimated from commodity-board volumes, government wages and judgement growth rates.</t>
  </si>
  <si>
    <t xml:space="preserve">THE THREE WAYS TO MEASURE GDP (slide 2)</t>
  </si>
  <si>
    <t xml:space="preserve">Expenditure approach</t>
  </si>
  <si>
    <t xml:space="preserve">GDP = C + I + G + X - M  (household &amp; government consumption, investment, exports less imports)</t>
  </si>
  <si>
    <t xml:space="preserve">Income approach</t>
  </si>
  <si>
    <t xml:space="preserve">GDP = wages &amp; salaries + business profits + self-employed income + taxes on products - subsidies</t>
  </si>
  <si>
    <t xml:space="preserve">Production approach  &lt;- this model</t>
  </si>
  <si>
    <t xml:space="preserve">GDP = sum over industries of (output - intermediate inputs) + taxes on products - subsidies</t>
  </si>
  <si>
    <t xml:space="preserve">HOW THE FORECAST WORKS (slides 5-7)</t>
  </si>
  <si>
    <t xml:space="preserve">Key idea</t>
  </si>
  <si>
    <t xml:space="preserve">Intermediate input shares are held constant, so real (constant-price) growth of value added = growth in physical volume.</t>
  </si>
  <si>
    <t xml:space="preserve">Resource sector</t>
  </si>
  <si>
    <t xml:space="preserve">Real GVA 2025 = Real GVA 2024 x (2025 volume / 2024 volume), per commodity, using Dept. of Treasury volumes. Nominal GVA also multiplies by the commodity price growth ratio.</t>
  </si>
  <si>
    <t xml:space="preserve">Agriculture, forestry &amp; fishing</t>
  </si>
  <si>
    <t xml:space="preserve">Formal commodities grow with their industry volumes (cocoa, coffee, palm oil, logs, fish...). Informal activity (food gardens, betel nut, informal fishing) grows with population.</t>
  </si>
  <si>
    <t xml:space="preserve">Public admin, health, education</t>
  </si>
  <si>
    <t xml:space="preserve">Nominal growth = growth in government compensation of employees. Deflator growth = government wage growth. Real growth = nominal growth / deflator growth.</t>
  </si>
  <si>
    <t xml:space="preserve">All other sectors</t>
  </si>
  <si>
    <t xml:space="preserve">Default: grow with population (2.6%). Override with a judgement growth rate where you have evidence (comments from the model are shown).</t>
  </si>
  <si>
    <t xml:space="preserve">Real -&gt; nominal GDP</t>
  </si>
  <si>
    <t xml:space="preserve">Nominal GDP = real GDP x GDP deflator (IPD) / 100.</t>
  </si>
  <si>
    <t xml:space="preserve">Contribution to growth</t>
  </si>
  <si>
    <t xml:space="preserve">Sector contribution (percentage points) = change in sector real GVA / total real GDP last year. Contributions add up to GDP growth.</t>
  </si>
  <si>
    <t xml:space="preserve">HOW TO USE IT</t>
  </si>
  <si>
    <t xml:space="preserve">1. Dashboard</t>
  </si>
  <si>
    <t xml:space="preserve">Headline numbers, contributions to growth and charts. Read this first.</t>
  </si>
  <si>
    <t xml:space="preserve">2. Resource</t>
  </si>
  <si>
    <t xml:space="preserve">Paste new DoT production numbers into the red cells; resource GVA updates automatically.</t>
  </si>
  <si>
    <t xml:space="preserve">3. AFF</t>
  </si>
  <si>
    <t xml:space="preserve">Commodity-board volumes for agriculture, forestry and fishing; informal growth assumption.</t>
  </si>
  <si>
    <t xml:space="preserve">4. Public_Admin</t>
  </si>
  <si>
    <t xml:space="preserve">Government compensation of employees and wage growth.</t>
  </si>
  <si>
    <t xml:space="preserve">5. Other_Sectors</t>
  </si>
  <si>
    <t xml:space="preserve">Type a judgement growth rate in the yellow column to override the population default. Try it and watch the Dashboard change.</t>
  </si>
  <si>
    <t xml:space="preserve">6. History</t>
  </si>
  <si>
    <t xml:space="preserve">Actual GDP 1993-2024 series (2006 onward shown) with the 2025 estimate appended.</t>
  </si>
  <si>
    <t xml:space="preserve">7. Model_Check</t>
  </si>
  <si>
    <t xml:space="preserve">Issues found in GDP_model_forecasting_2025.xlsx that stop its 2025 column from calculating.</t>
  </si>
  <si>
    <t xml:space="preserve">COLOUR CODE (same as the forecasting model)</t>
  </si>
  <si>
    <t xml:space="preserve">Red numbers</t>
  </si>
  <si>
    <t xml:space="preserve">Hard-coded data (NSO national accounts, DoT production, commodity boards)</t>
  </si>
  <si>
    <t xml:space="preserve">Blue numbers</t>
  </si>
  <si>
    <t xml:space="preserve">Assumptions (price growth, wage growth, population growth)</t>
  </si>
  <si>
    <t xml:space="preserve">Black numbers</t>
  </si>
  <si>
    <t xml:space="preserve">Formulas - do not type over these</t>
  </si>
  <si>
    <t xml:space="preserve">Yellow shading</t>
  </si>
  <si>
    <t xml:space="preserve">Assumptions or judgement calls you are expected to review and change</t>
  </si>
  <si>
    <t xml:space="preserve">UNITS</t>
  </si>
  <si>
    <t xml:space="preserve">Kina millions unless stated. Growth rates are percent. Volumes as reported by DoT / commodity boards.</t>
  </si>
  <si>
    <t xml:space="preserve">PNG GDP 2025 Estimate - Dashboard</t>
  </si>
  <si>
    <t xml:space="preserve">Production approach, constant 2013 prices. Kina millions. All cells are formulas - change inputs on the green tabs.</t>
  </si>
  <si>
    <t xml:space="preserve">Real GDP growth 2025</t>
  </si>
  <si>
    <t xml:space="preserve">Real GDP 2025 (K m)</t>
  </si>
  <si>
    <t xml:space="preserve">Non-resource growth</t>
  </si>
  <si>
    <t xml:space="preserve">Resource growth</t>
  </si>
  <si>
    <t xml:space="preserve">Nominal GDP 2025 (K m)</t>
  </si>
  <si>
    <t xml:space="preserve">Nominal GDP growth</t>
  </si>
  <si>
    <t xml:space="preserve">GDP deflator growth</t>
  </si>
  <si>
    <t xml:space="preserve">Real GDP per person</t>
  </si>
  <si>
    <t xml:space="preserve">Sector</t>
  </si>
  <si>
    <t xml:space="preserve">Type</t>
  </si>
  <si>
    <t xml:space="preserve">Real GVA 2024</t>
  </si>
  <si>
    <t xml:space="preserve">Real GVA 2025</t>
  </si>
  <si>
    <t xml:space="preserve">Real growth %</t>
  </si>
  <si>
    <t xml:space="preserve">Share of GDP 2025</t>
  </si>
  <si>
    <t xml:space="preserve">Contribution to growth (pp)</t>
  </si>
  <si>
    <t xml:space="preserve">Oil &amp; Gas</t>
  </si>
  <si>
    <t xml:space="preserve">Resource</t>
  </si>
  <si>
    <t xml:space="preserve">Mining</t>
  </si>
  <si>
    <t xml:space="preserve">Non-resource</t>
  </si>
  <si>
    <t xml:space="preserve">Public admin, education &amp; health</t>
  </si>
  <si>
    <t xml:space="preserve">Other sectors (manufacturing, services...)</t>
  </si>
  <si>
    <t xml:space="preserve">Taxes less subsidies on products</t>
  </si>
  <si>
    <t xml:space="preserve">GDP (constant prices)</t>
  </si>
  <si>
    <t xml:space="preserve">  of which Resource GDP</t>
  </si>
  <si>
    <t xml:space="preserve">  of which Non-resource GDP</t>
  </si>
  <si>
    <t xml:space="preserve">Nominal GDP</t>
  </si>
  <si>
    <t xml:space="preserve">2024</t>
  </si>
  <si>
    <t xml:space="preserve">2025</t>
  </si>
  <si>
    <t xml:space="preserve">Growth %</t>
  </si>
  <si>
    <t xml:space="preserve">GDP deflator (IPD, 2013 = 100)</t>
  </si>
  <si>
    <t xml:space="preserve">Nominal GDP = real GDP x IPD / 100</t>
  </si>
  <si>
    <t xml:space="preserve">Population</t>
  </si>
  <si>
    <t xml:space="preserve">Real GDP per person (Kina)</t>
  </si>
  <si>
    <t xml:space="preserve">Check: 2024 real GDP here vs forecasting model</t>
  </si>
  <si>
    <t xml:space="preserve">Resource commodity</t>
  </si>
  <si>
    <t xml:space="preserve">Volume change 2025</t>
  </si>
  <si>
    <t xml:space="preserve">Real GVA change (K m)</t>
  </si>
  <si>
    <t xml:space="preserve">Petroleum (oil)</t>
  </si>
  <si>
    <t xml:space="preserve">LNG</t>
  </si>
  <si>
    <t xml:space="preserve">Condensate</t>
  </si>
  <si>
    <t xml:space="preserve">Copper</t>
  </si>
  <si>
    <t xml:space="preserve">Gold</t>
  </si>
  <si>
    <t xml:space="preserve">Silver</t>
  </si>
  <si>
    <t xml:space="preserve">Nickel</t>
  </si>
  <si>
    <t xml:space="preserve">Cobalt</t>
  </si>
  <si>
    <t xml:space="preserve">Household / alluvial (HH)</t>
  </si>
  <si>
    <t xml:space="preserve">How to read this</t>
  </si>
  <si>
    <t xml:space="preserve">- Real growth uses constant 2013 prices, so it measures change in volume of production only - not price changes.</t>
  </si>
  <si>
    <t xml:space="preserve">- Contribution (pp) = how many percentage points of total GDP growth come from that sector. They add up to total growth.</t>
  </si>
  <si>
    <t xml:space="preserve">- A big sector growing slowly can contribute more than a small sector growing fast - compare columns E and G.</t>
  </si>
  <si>
    <t xml:space="preserve">- Nominal GDP adds price changes (the deflator). Gold and copper prices push nominal resource GVA up far more than real.</t>
  </si>
  <si>
    <t xml:space="preserve">- Resource GDP is volatile (one mine or LNG shutdown swings it); non-resource GDP is what most people feel.</t>
  </si>
  <si>
    <t xml:space="preserve">Resource sector - 2025 estimate from Dept. of Treasury production volumes</t>
  </si>
  <si>
    <t xml:space="preserve">Step 1: production volumes (red, from DoT sheet). Step 2: volume growth x 2024 GVA = 2025 real GVA.</t>
  </si>
  <si>
    <t xml:space="preserve">Production (DoT)</t>
  </si>
  <si>
    <t xml:space="preserve">% change</t>
  </si>
  <si>
    <t xml:space="preserve">Commodity</t>
  </si>
  <si>
    <t xml:space="preserve">Sub-sector</t>
  </si>
  <si>
    <t xml:space="preserve">Volume 2024</t>
  </si>
  <si>
    <t xml:space="preserve">Volume 2025</t>
  </si>
  <si>
    <t xml:space="preserve">Volume growth ratio</t>
  </si>
  <si>
    <t xml:space="preserve">Real GVA 2024 (K m)</t>
  </si>
  <si>
    <t xml:space="preserve">Real GVA 2025 (K m)</t>
  </si>
  <si>
    <t xml:space="preserve">Price growth ratio 2025</t>
  </si>
  <si>
    <t xml:space="preserve">Nominal GVA 2024 (K m)</t>
  </si>
  <si>
    <t xml:space="preserve">Nominal GVA 2025 (K m)</t>
  </si>
  <si>
    <t xml:space="preserve">Nominal growth %</t>
  </si>
  <si>
    <t xml:space="preserve">MINING</t>
  </si>
  <si>
    <t xml:space="preserve">Prodn volume (tonnes)</t>
  </si>
  <si>
    <t xml:space="preserve">    Ok Tedi</t>
  </si>
  <si>
    <t xml:space="preserve">    Porgera</t>
  </si>
  <si>
    <t xml:space="preserve">    Misima</t>
  </si>
  <si>
    <t xml:space="preserve">    Lihir</t>
  </si>
  <si>
    <t xml:space="preserve">    Tolukuma</t>
  </si>
  <si>
    <t xml:space="preserve">    Kainantu</t>
  </si>
  <si>
    <t xml:space="preserve">n/a</t>
  </si>
  <si>
    <t xml:space="preserve">    Simberi</t>
  </si>
  <si>
    <t xml:space="preserve">    Hidden Valley</t>
  </si>
  <si>
    <t xml:space="preserve">    Small Scale Alluvial</t>
  </si>
  <si>
    <t xml:space="preserve">RESOURCE SECTOR TOTAL</t>
  </si>
  <si>
    <t xml:space="preserve">Prodn volume (000 lbs)</t>
  </si>
  <si>
    <t xml:space="preserve">How to read this table:</t>
  </si>
  <si>
    <t xml:space="preserve">Volume growth ratio = 2025 volume / 2024 volume (1.149 means volume up 14.9%).</t>
  </si>
  <si>
    <t xml:space="preserve">Real GVA 2025 = Real GVA 2024 x volume growth ratio  (intermediate input share held constant, slide 5).</t>
  </si>
  <si>
    <t xml:space="preserve">Nominal GVA 2025 = Nominal GVA 2024 x volume growth ratio x price growth ratio.</t>
  </si>
  <si>
    <t xml:space="preserve">Implied price deflator change = nominal growth vs real growth - e.g. gold: volume +15%, price +54%.</t>
  </si>
  <si>
    <t xml:space="preserve">    Ramu</t>
  </si>
  <si>
    <t xml:space="preserve">OIL &amp; GAS</t>
  </si>
  <si>
    <t xml:space="preserve">Petroleum</t>
  </si>
  <si>
    <t xml:space="preserve">Industry Production Volume (000 barrels)</t>
  </si>
  <si>
    <t xml:space="preserve">    Kutubu</t>
  </si>
  <si>
    <t xml:space="preserve">    Moran</t>
  </si>
  <si>
    <t xml:space="preserve">    SE Manada &amp; Agogo</t>
  </si>
  <si>
    <t xml:space="preserve">    Gobe</t>
  </si>
  <si>
    <t xml:space="preserve">Gas</t>
  </si>
  <si>
    <t xml:space="preserve">PNG LNG production volume (Tbtu)</t>
  </si>
  <si>
    <t xml:space="preserve">PNG LNG production volume (MB)</t>
  </si>
  <si>
    <t xml:space="preserve">Source: Resource Production numbers 2024 &amp; 2025, Dept. of Treasury (user-supplied file). Paste next year's numbers into the red cells.</t>
  </si>
  <si>
    <t xml:space="preserve">Agriculture, Forestry &amp; Fishing - 2025 real GVA</t>
  </si>
  <si>
    <t xml:space="preserve">Formal commodities grow with industry volumes (commodity boards); informal activity grows with population.</t>
  </si>
  <si>
    <t xml:space="preserve">Informal sector growth (population growth, 2025)</t>
  </si>
  <si>
    <t xml:space="preserve">Component</t>
  </si>
  <si>
    <t xml:space="preserve">Group</t>
  </si>
  <si>
    <t xml:space="preserve">Method</t>
  </si>
  <si>
    <t xml:space="preserve">Volume 2024 ('000 t / m3)</t>
  </si>
  <si>
    <t xml:space="preserve">Growth ratio</t>
  </si>
  <si>
    <t xml:space="preserve">Cocoa</t>
  </si>
  <si>
    <t xml:space="preserve">Crop &amp; animal</t>
  </si>
  <si>
    <t xml:space="preserve">Industry volume</t>
  </si>
  <si>
    <t xml:space="preserve">Coffee</t>
  </si>
  <si>
    <t xml:space="preserve">Tea</t>
  </si>
  <si>
    <t xml:space="preserve">Copra</t>
  </si>
  <si>
    <t xml:space="preserve">Copra oil</t>
  </si>
  <si>
    <t xml:space="preserve">Palm oil</t>
  </si>
  <si>
    <t xml:space="preserve">Rubber</t>
  </si>
  <si>
    <t xml:space="preserve">Logs (formal forestry)</t>
  </si>
  <si>
    <t xml:space="preserve">Forestry</t>
  </si>
  <si>
    <t xml:space="preserve">Fishing (formal)</t>
  </si>
  <si>
    <t xml:space="preserve">Fishing</t>
  </si>
  <si>
    <t xml:space="preserve">Livestock (formal)</t>
  </si>
  <si>
    <t xml:space="preserve">Model assumption</t>
  </si>
  <si>
    <t xml:space="preserve">Livestock (informal)</t>
  </si>
  <si>
    <t xml:space="preserve">Fruit &amp; veg (informal)</t>
  </si>
  <si>
    <t xml:space="preserve">Betel nut (informal)</t>
  </si>
  <si>
    <t xml:space="preserve">Forestry (informal)</t>
  </si>
  <si>
    <t xml:space="preserve">Fishing (informal)</t>
  </si>
  <si>
    <t xml:space="preserve">Crop &amp; animal total</t>
  </si>
  <si>
    <t xml:space="preserve">Forestry total</t>
  </si>
  <si>
    <t xml:space="preserve">Fishing total</t>
  </si>
  <si>
    <t xml:space="preserve">AFF TOTAL</t>
  </si>
  <si>
    <t xml:space="preserve">Note: cocoa volumes jump 46% (41k -&gt; 60k t) in the model inputs - check this with the Cocoa Board before relying on it; it alone adds ~K180m to real AFF GVA.</t>
  </si>
  <si>
    <t xml:space="preserve">Public Administration, Education &amp; Health - 2025 estimate</t>
  </si>
  <si>
    <t xml:space="preserve">Nominal growth = growth in government compensation of employees; deflator growth = government wage growth (slide 7).</t>
  </si>
  <si>
    <t xml:space="preserve">Govt compensation of employees 2024 (K m)</t>
  </si>
  <si>
    <t xml:space="preserve">Govt compensation of employees 2025 (K m)</t>
  </si>
  <si>
    <t xml:space="preserve">Nominal growth = CoE growth</t>
  </si>
  <si>
    <t xml:space="preserve">Government wage growth (deflator growth)</t>
  </si>
  <si>
    <t xml:space="preserve">Implied real growth = (1+nominal)/(1+deflator) - 1</t>
  </si>
  <si>
    <t xml:space="preserve">Nominal GVA 2024</t>
  </si>
  <si>
    <t xml:space="preserve">IPD 2024</t>
  </si>
  <si>
    <t xml:space="preserve">Nominal GVA 2025</t>
  </si>
  <si>
    <t xml:space="preserve">IPD 2025</t>
  </si>
  <si>
    <t xml:space="preserve">Public administration &amp; defence</t>
  </si>
  <si>
    <t xml:space="preserve">Education</t>
  </si>
  <si>
    <t xml:space="preserve">Health &amp; social work</t>
  </si>
  <si>
    <t xml:space="preserve">TOTAL</t>
  </si>
  <si>
    <t xml:space="preserve">IPD (implicit price deflator) = nominal / real x 100. It measures the price level relative to the base year.</t>
  </si>
  <si>
    <t xml:space="preserve">Other sectors - population default or your judgement</t>
  </si>
  <si>
    <t xml:space="preserve">Leave the yellow column blank to use the default growth; type a rate (e.g. 4%) to override it.</t>
  </si>
  <si>
    <t xml:space="preserve">Default growth for sectors without data (population growth)</t>
  </si>
  <si>
    <t xml:space="preserve">Judgement growth (optional)</t>
  </si>
  <si>
    <t xml:space="preserve">Growth used</t>
  </si>
  <si>
    <t xml:space="preserve">Reasoning recorded in the model</t>
  </si>
  <si>
    <t xml:space="preserve">Manufacturing</t>
  </si>
  <si>
    <t xml:space="preserve">for 2026 choosen the average of 2022-2024  with a little bump - SWT increases merchandise imports increased, employment increased - private sector credit growth</t>
  </si>
  <si>
    <t xml:space="preserve">Electricity,Gas,Steam And Airconditioning Supply</t>
  </si>
  <si>
    <t xml:space="preserve">Large increase in generator purchases</t>
  </si>
  <si>
    <t xml:space="preserve">Water Supply, Sewage, Waste Management</t>
  </si>
  <si>
    <t xml:space="preserve">water increase in imports - longer term growth expected to be persistant. Sector going through lot of infrastructure detoriation. Next few years should see some growth</t>
  </si>
  <si>
    <t xml:space="preserve">Construction</t>
  </si>
  <si>
    <t xml:space="preserve">Increased government spending in 2026 leading to strong growth  government spending in net financial assets could increase by 19.8% (nominal). Connect PNG program in future years. Stronger private investment expected</t>
  </si>
  <si>
    <t xml:space="preserve">Wholesale And Retail Trade</t>
  </si>
  <si>
    <t xml:space="preserve">for 2026 owards choosen the average of 2022-2024. Growth in imports supports this. Higher commodity prices indicative of demand. Tapered down a little for 2027. 2028 assume the fx effect stops</t>
  </si>
  <si>
    <t xml:space="preserve">Transport And Storage</t>
  </si>
  <si>
    <t xml:space="preserve">average of last few years is 7.5 - going with 7 with the airniugini and png air refleeting program suggesting strong growth. Resumption of Pogera</t>
  </si>
  <si>
    <t xml:space="preserve">Accomodation And Food Service Activity</t>
  </si>
  <si>
    <t xml:space="preserve">for 2026 choosen the average of 2022-2024. 2027 election plus toursim growth long term </t>
  </si>
  <si>
    <t xml:space="preserve">Information And Communication</t>
  </si>
  <si>
    <t xml:space="preserve">for 2026 lowest number of last 4 years. gone for 7 as longer term growth</t>
  </si>
  <si>
    <t xml:space="preserve">Finance</t>
  </si>
  <si>
    <t xml:space="preserve">increased growth in financial instiuttions in 2026. gone for average of last few years going forward </t>
  </si>
  <si>
    <t xml:space="preserve">Insurance</t>
  </si>
  <si>
    <t xml:space="preserve">Rent &amp; Other</t>
  </si>
  <si>
    <t xml:space="preserve">slight overall growth vs last year</t>
  </si>
  <si>
    <t xml:space="preserve">Imputed Rent</t>
  </si>
  <si>
    <t xml:space="preserve">Professional,Scientific And Technical Activities</t>
  </si>
  <si>
    <t xml:space="preserve">for 2026 choosen slight bump vs recent average due to court cases etc. long term gone for the average of 2022-2024</t>
  </si>
  <si>
    <t xml:space="preserve">Administrative And Support Service Activities</t>
  </si>
  <si>
    <t xml:space="preserve">slight overall growth vs last year. Increased law in order might see reduction in long term growth</t>
  </si>
  <si>
    <t xml:space="preserve">Arts,Entertainmentand Recreation</t>
  </si>
  <si>
    <t xml:space="preserve">Other Service Activities</t>
  </si>
  <si>
    <t xml:space="preserve">Activities Of Households As Employers</t>
  </si>
  <si>
    <t xml:space="preserve">Has grown by 3.1% last few years</t>
  </si>
  <si>
    <t xml:space="preserve">TOTAL OTHER SECTORS</t>
  </si>
  <si>
    <t xml:space="preserve">Real 2024 (K m)</t>
  </si>
  <si>
    <t xml:space="preserve">Growth</t>
  </si>
  <si>
    <t xml:space="preserve">Real 2025 (K m)</t>
  </si>
  <si>
    <t xml:space="preserve">Source</t>
  </si>
  <si>
    <t xml:space="preserve">Taxes less subsidies (constant prices)</t>
  </si>
  <si>
    <t xml:space="preserve">Forecasting model: GDP Constant Price GVA row 35 (nominal revenue forecast / tax IPD)</t>
  </si>
  <si>
    <t xml:space="preserve">Tip: the model's comments say Construction should be strong (higher govt capital spending, Connect PNG) and Transport ~7% (Air Niugini / PNG Air fleet, Porgera restart). Try entering those rates and watch the Dashboard.</t>
  </si>
  <si>
    <t xml:space="preserve">GDP history 2006-2024 (NSO actuals, from the forecasting model) + 2025 estimate</t>
  </si>
  <si>
    <t xml:space="preserve">Kina millions. Constant prices are 2013 prices.</t>
  </si>
  <si>
    <t xml:space="preserve">Year</t>
  </si>
  <si>
    <t xml:space="preserve">Nominal GDP (K bn)</t>
  </si>
  <si>
    <t xml:space="preserve">Real GDP (K bn)</t>
  </si>
  <si>
    <t xml:space="preserve">GDP deflator</t>
  </si>
  <si>
    <t xml:space="preserve">AFF</t>
  </si>
  <si>
    <t xml:space="preserve">Public admin, educ &amp; health</t>
  </si>
  <si>
    <t xml:space="preserve">Other sectors</t>
  </si>
  <si>
    <t xml:space="preserve">Taxes less subsidies</t>
  </si>
  <si>
    <t xml:space="preserve">Resource share of real GDP</t>
  </si>
  <si>
    <t xml:space="preserve">Real GDP per person (K)</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</si>
  <si>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</si>
  <si>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</si>
  <si>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</si>
  <si>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</si>
  <si>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</si>
  <si>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</si>
  <si>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</si>
  <si>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</si>
  <si>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</si>
  <si>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</si>
  <si>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</si>
  <si>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</si>
  <si>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</si>
  <si>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</si>
  <si>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</si>
  <si>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</si>
  <si>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</si>
  <si>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</si>
  <si>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2025e</t>
  </si>
  <si>
    <t xml:space="preserve">Source: 'Summary and Charts' tab of GDP_model_forecasting_2025.xlsx (NSO national accounts). 2025e row (yellow) is this workbook's estimate. Note: big jumps in 2014-2015 are PNG LNG starting production.</t>
  </si>
  <si>
    <t xml:space="preserve">Issues found in GDP_model_forecasting_2025.xlsx</t>
  </si>
  <si>
    <t xml:space="preserve">Why the model's 2025+ columns show DIV/0 errors or zero, and how this workbook handles each one.</t>
  </si>
  <si>
    <t xml:space="preserve">#</t>
  </si>
  <si>
    <t xml:space="preserve">Where (sheet / cells)</t>
  </si>
  <si>
    <t xml:space="preserve">What is wrong</t>
  </si>
  <si>
    <t xml:space="preserve">Effect</t>
  </si>
  <si>
    <t xml:space="preserve">Suggested fix (handled here as...)</t>
  </si>
  <si>
    <t xml:space="preserve">Resource Sector, column AI (2025): mine-level volume rows e.g. 61-64, 83, 99, 120, 137-148, 165-174, 190, 206</t>
  </si>
  <si>
    <t xml:space="preserve">2025 production volumes have not been entered.</t>
  </si>
  <si>
    <t xml:space="preserve">Volume growth = 0/2024, so resource GVA 2025 = 0 and 2026+ = DIV/0 errors. Total GDP 2025 cannot be calculated.</t>
  </si>
  <si>
    <t xml:space="preserve">Paste the DoT 2025 numbers (this workbook's Resource tab uses them).</t>
  </si>
  <si>
    <t xml:space="preserve">Resource Sector rows 190 &amp; 206 (Nickel, Cobalt industry volumes)</t>
  </si>
  <si>
    <t xml:space="preserve">These are typed numbers, not SUMs of mine rows like gold/silver.</t>
  </si>
  <si>
    <t xml:space="preserve">Fine for 2024 but the 2025 cell is empty.</t>
  </si>
  <si>
    <t xml:space="preserve">Enter Ramu 2025 volume (DoT: nickel 32,846 t, cobalt 3,088 t).</t>
  </si>
  <si>
    <t xml:space="preserve">Resource Sector row 215 (HH constant price growth ratio) 2025+</t>
  </si>
  <si>
    <t xml:space="preserve">Blank - no assumption entered.</t>
  </si>
  <si>
    <t xml:space="preserve">HH GVA 2025 = 0.</t>
  </si>
  <si>
    <t xml:space="preserve">Enter 1.031 (3.1% historical growth) - used here as a yellow assumption.</t>
  </si>
  <si>
    <t xml:space="preserve">Public Administration rows 5-6, 13-14, 21-22, 29-30, column AI onward</t>
  </si>
  <si>
    <t xml:space="preserve">2025 GVA cells are empty (no formula yet).</t>
  </si>
  <si>
    <t xml:space="preserve">Public admin, education and health = 0 in 2025, pulling GDP down by ~K8bn.</t>
  </si>
  <si>
    <t xml:space="preserve">Nominal = 2024 x (1 + CoE growth); IPD = 2024 IPD x (1 + wage growth); real = nominal / IPD (slide 7).</t>
  </si>
  <si>
    <t xml:space="preserve">AFF rows 60-64, 99-103, 112-116, 125-129, 138-142, 161-165, 174-178 (formal commodities)</t>
  </si>
  <si>
    <t xml:space="preserve">2025 real GVA is computed as current-price growth / price growth, but 2025 current-price GVA is blank.</t>
  </si>
  <si>
    <t xml:space="preserve">DIV/0 errors for AFF 2025, which flows to GDP.</t>
  </si>
  <si>
    <t xml:space="preserve">Use volume growth (row 'Volumes from Industry') like coffee already does (row 77) - matches slide 5.</t>
  </si>
  <si>
    <t xml:space="preserve">AFF rows 74, 80, 87, 100, 113 (2023 column)</t>
  </si>
  <si>
    <t xml:space="preserve">REF errors in 2023 constant-price GVA / growth.</t>
  </si>
  <si>
    <t xml:space="preserve">Historical growth rates for coffee, tea, copra and copra oil cannot be read.</t>
  </si>
  <si>
    <t xml:space="preserve">Re-link to the NSO 2023 numbers.</t>
  </si>
  <si>
    <t xml:space="preserve">Summary and Charts rows 58-79 (judgement growth)</t>
  </si>
  <si>
    <t xml:space="preserve">Comments are written but no growth rates entered.</t>
  </si>
  <si>
    <t xml:space="preserve">All other sectors fall back to population growth (2.6%), ignoring the reasoning in the comments.</t>
  </si>
  <si>
    <t xml:space="preserve">Type the chosen rates - this workbook's Other_Sectors tab has a column for them.</t>
  </si>
  <si>
    <t xml:space="preserve">Summary and Charts row 4 (current price GDP) 2025+</t>
  </si>
  <si>
    <t xml:space="preserve">No formula beyond 2024.</t>
  </si>
  <si>
    <t xml:space="preserve">Nominal GDP and nominal growth % show -100% / DIV/0 errors.</t>
  </si>
  <si>
    <t xml:space="preserve">Link to 'GDP Current Price GVA'!AI37/1000 like row 5 does for real GDP.</t>
  </si>
  <si>
    <t xml:space="preserve">Summary row 50 vs 'Other Assumptions' row 18</t>
  </si>
  <si>
    <t xml:space="preserve">Two population growth rates: 2.645% (implied, used for sectors) vs 2.6% (used for informal AFF).</t>
  </si>
  <si>
    <t xml:space="preserve">Small inconsistency.</t>
  </si>
  <si>
    <t xml:space="preserve">Pick one source; both are kept here so the numbers match the model.</t>
  </si>
</sst>
</file>

<file path=xl/styles.xml><?xml version="1.0" encoding="utf-8"?>
<styleSheet xmlns="http://schemas.openxmlformats.org/spreadsheetml/2006/main">
  <numFmts count="10">
    <numFmt numFmtId="164" formatCode="General"/>
    <numFmt numFmtId="165" formatCode="0.0%;\(0.0%\);\-"/>
    <numFmt numFmtId="166" formatCode="#,##0;\(#,##0\);\-"/>
    <numFmt numFmtId="167" formatCode="0.00"/>
    <numFmt numFmtId="168" formatCode="0.0"/>
    <numFmt numFmtId="169" formatCode="#,##0"/>
    <numFmt numFmtId="170" formatCode="#,##0.0;\(#,##0.0\);\-"/>
    <numFmt numFmtId="171" formatCode="0%"/>
    <numFmt numFmtId="172" formatCode="#,##0.000"/>
    <numFmt numFmtId="173" formatCode="0.000"/>
  </numFmts>
  <fonts count="2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color rgb="FF000000"/>
      <name val="Arial"/>
      <family val="0"/>
      <charset val="1"/>
    </font>
    <font>
      <sz val="10"/>
      <color rgb="FF000000"/>
      <name val="Arial"/>
      <family val="0"/>
      <charset val="1"/>
    </font>
    <font>
      <b val="true"/>
      <sz val="10"/>
      <color rgb="FFC00000"/>
      <name val="Arial"/>
      <family val="0"/>
      <charset val="1"/>
    </font>
    <font>
      <b val="true"/>
      <sz val="10"/>
      <color rgb="FF0000FF"/>
      <name val="Arial"/>
      <family val="0"/>
      <charset val="1"/>
    </font>
    <font>
      <b val="true"/>
      <sz val="20"/>
      <color rgb="FF1F3864"/>
      <name val="Arial"/>
      <family val="0"/>
      <charset val="1"/>
    </font>
    <font>
      <b val="true"/>
      <sz val="16"/>
      <color rgb="FF1F3864"/>
      <name val="Arial"/>
      <family val="0"/>
      <charset val="1"/>
    </font>
    <font>
      <b val="true"/>
      <sz val="10"/>
      <color rgb="FFFFFFFF"/>
      <name val="Arial"/>
      <family val="0"/>
      <charset val="1"/>
    </font>
    <font>
      <sz val="10"/>
      <color rgb="FF008000"/>
      <name val="Arial"/>
      <family val="0"/>
      <charset val="1"/>
    </font>
    <font>
      <i val="true"/>
      <sz val="10"/>
      <color rgb="FF000000"/>
      <name val="Arial"/>
      <family val="0"/>
      <charset val="1"/>
    </font>
    <font>
      <sz val="10"/>
      <color rgb="FFC00000"/>
      <name val="Arial"/>
      <family val="0"/>
      <charset val="1"/>
    </font>
    <font>
      <sz val="10"/>
      <color rgb="FF0000FF"/>
      <name val="Arial"/>
      <family val="0"/>
      <charset val="1"/>
    </font>
    <font>
      <sz val="10"/>
      <name val="Arial"/>
      <family val="2"/>
    </font>
    <font>
      <b val="true"/>
      <sz val="18"/>
      <color rgb="FF000000"/>
      <name val="Calibri"/>
      <family val="2"/>
    </font>
    <font>
      <sz val="10"/>
      <color rgb="FF000000"/>
      <name val="Calibri"/>
      <family val="2"/>
    </font>
  </fonts>
  <fills count="7">
    <fill>
      <patternFill patternType="none"/>
    </fill>
    <fill>
      <patternFill patternType="gray125"/>
    </fill>
    <fill>
      <patternFill patternType="solid">
        <fgColor rgb="FFD9E1F2"/>
        <bgColor rgb="FFD9D9D9"/>
      </patternFill>
    </fill>
    <fill>
      <patternFill patternType="solid">
        <fgColor rgb="FFFFF2CC"/>
        <bgColor rgb="FFFCE4D6"/>
      </patternFill>
    </fill>
    <fill>
      <patternFill patternType="solid">
        <fgColor rgb="FFFCE4D6"/>
        <bgColor rgb="FFFFF2CC"/>
      </patternFill>
    </fill>
    <fill>
      <patternFill patternType="solid">
        <fgColor rgb="FF1F3864"/>
        <bgColor rgb="FF333333"/>
      </patternFill>
    </fill>
    <fill>
      <patternFill patternType="solid">
        <fgColor rgb="FFE2EFDA"/>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true" applyAlignment="true" applyProtection="false">
      <alignment horizontal="center" vertical="bottom" textRotation="0" wrapText="false" indent="0" shrinkToFit="false"/>
      <protection locked="true" hidden="false"/>
    </xf>
    <xf numFmtId="165" fontId="10" fillId="4" borderId="0" xfId="0" applyFont="true" applyBorder="true" applyAlignment="true" applyProtection="false">
      <alignment horizontal="center" vertical="center" textRotation="0" wrapText="false" indent="0" shrinkToFit="false"/>
      <protection locked="true" hidden="false"/>
    </xf>
    <xf numFmtId="166" fontId="10" fillId="4"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center" vertical="bottom" textRotation="0" wrapText="false" indent="0" shrinkToFit="false"/>
      <protection locked="true" hidden="false"/>
    </xf>
    <xf numFmtId="166" fontId="11" fillId="2" borderId="0" xfId="0" applyFont="true" applyBorder="true" applyAlignment="true" applyProtection="false">
      <alignment horizontal="center" vertical="center" textRotation="0" wrapText="false" indent="0" shrinkToFit="false"/>
      <protection locked="true" hidden="false"/>
    </xf>
    <xf numFmtId="165" fontId="11" fillId="2" borderId="0"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6" fontId="6" fillId="6" borderId="1" xfId="0" applyFont="true" applyBorder="true" applyAlignment="false" applyProtection="false">
      <alignment horizontal="general" vertical="bottom" textRotation="0" wrapText="false" indent="0" shrinkToFit="false"/>
      <protection locked="true" hidden="false"/>
    </xf>
    <xf numFmtId="165" fontId="6" fillId="6" borderId="1" xfId="0" applyFont="true" applyBorder="true" applyAlignment="false" applyProtection="false">
      <alignment horizontal="general" vertical="bottom" textRotation="0" wrapText="false" indent="0" shrinkToFit="false"/>
      <protection locked="true" hidden="false"/>
    </xf>
    <xf numFmtId="167" fontId="6" fillId="6"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8" fontId="15" fillId="0" borderId="1" xfId="0" applyFont="true" applyBorder="true" applyAlignment="false" applyProtection="false">
      <alignment horizontal="general" vertical="bottom" textRotation="0" wrapText="false" indent="0" shrinkToFit="false"/>
      <protection locked="true" hidden="false"/>
    </xf>
    <xf numFmtId="168" fontId="16" fillId="3" borderId="1" xfId="0" applyFont="true" applyBorder="true" applyAlignment="false" applyProtection="false">
      <alignment horizontal="general" vertical="bottom" textRotation="0" wrapText="false" indent="0" shrinkToFit="false"/>
      <protection locked="true" hidden="false"/>
    </xf>
    <xf numFmtId="169" fontId="15"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70" fontId="13" fillId="0" borderId="1"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70" fontId="15"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3" fontId="16" fillId="3" borderId="1" xfId="0" applyFont="true" applyBorder="true" applyAlignment="false" applyProtection="false">
      <alignment horizontal="general" vertical="bottom" textRotation="0" wrapText="false" indent="0" shrinkToFit="false"/>
      <protection locked="true" hidden="false"/>
    </xf>
    <xf numFmtId="172"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72" fontId="15" fillId="0" borderId="1" xfId="0" applyFont="true" applyBorder="true" applyAlignment="false" applyProtection="false">
      <alignment horizontal="general" vertical="bottom" textRotation="0" wrapText="false" indent="0" shrinkToFit="false"/>
      <protection locked="true" hidden="false"/>
    </xf>
    <xf numFmtId="170" fontId="6" fillId="6"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65" fontId="16" fillId="3" borderId="0" xfId="0" applyFont="true" applyBorder="false" applyAlignment="false" applyProtection="false">
      <alignment horizontal="general" vertical="bottom" textRotation="0" wrapText="false" indent="0" shrinkToFit="false"/>
      <protection locked="true" hidden="false"/>
    </xf>
    <xf numFmtId="165" fontId="16" fillId="3"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8" fontId="6" fillId="6"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70" fontId="16" fillId="3" borderId="1" xfId="0" applyFont="true" applyBorder="true" applyAlignment="false" applyProtection="false">
      <alignment horizontal="general" vertical="bottom" textRotation="0" wrapText="false" indent="0" shrinkToFit="false"/>
      <protection locked="true" hidden="false"/>
    </xf>
    <xf numFmtId="166" fontId="15"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8" fontId="13"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6" fontId="13" fillId="3" borderId="1" xfId="0" applyFont="true" applyBorder="true" applyAlignment="false" applyProtection="false">
      <alignment horizontal="general" vertical="bottom" textRotation="0" wrapText="false" indent="0" shrinkToFit="false"/>
      <protection locked="true" hidden="false"/>
    </xf>
    <xf numFmtId="169" fontId="13" fillId="3" borderId="1" xfId="0" applyFont="true" applyBorder="true" applyAlignment="false" applyProtection="false">
      <alignment horizontal="general" vertical="bottom" textRotation="0" wrapText="false" indent="0" shrinkToFit="false"/>
      <protection locked="true" hidden="false"/>
    </xf>
    <xf numFmtId="169" fontId="7"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4F81BD"/>
      <rgbColor rgb="FFBFBFBF"/>
      <rgbColor rgb="FF878787"/>
      <rgbColor rgb="FF9999FF"/>
      <rgbColor rgb="FFBE4B48"/>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4472C4"/>
      <rgbColor rgb="FF33CCCC"/>
      <rgbColor rgb="FF99CC00"/>
      <rgbColor rgb="FFFFCC00"/>
      <rgbColor rgb="FFFF9900"/>
      <rgbColor rgb="FFFF6600"/>
      <rgbColor rgb="FF595959"/>
      <rgbColor rgb="FF70AD47"/>
      <rgbColor rgb="FF1F3864"/>
      <rgbColor rgb="FF4A7EB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Contribution to 2025 real GDP growth (percentage points)</a:t>
            </a:r>
          </a:p>
        </c:rich>
      </c:tx>
      <c:overlay val="0"/>
      <c:spPr>
        <a:noFill/>
        <a:ln w="0">
          <a:noFill/>
        </a:ln>
      </c:spPr>
    </c:title>
    <c:autoTitleDeleted val="0"/>
    <c:plotArea>
      <c:barChart>
        <c:barDir val="bar"/>
        <c:grouping val="clustered"/>
        <c:varyColors val="0"/>
        <c:ser>
          <c:idx val="0"/>
          <c:order val="0"/>
          <c:tx>
            <c:strRef>
              <c:f>Dashboard!G12</c:f>
              <c:strCache>
                <c:ptCount val="1"/>
                <c:pt idx="0">
                  <c:v>Contribution to growth (pp)</c:v>
                </c:pt>
              </c:strCache>
            </c:strRef>
          </c:tx>
          <c:spPr>
            <a:solidFill>
              <a:srgbClr val="4f81bd"/>
            </a:solidFill>
            <a:ln w="0">
              <a:noFill/>
            </a:ln>
          </c:spPr>
          <c:invertIfNegative val="0"/>
          <c:dLbls>
            <c:numFmt formatCode="0.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Dashboard!$A$13:$A$18</c:f>
              <c:strCache>
                <c:ptCount val="6"/>
                <c:pt idx="0">
                  <c:v>Oil &amp; Gas</c:v>
                </c:pt>
                <c:pt idx="1">
                  <c:v>Mining</c:v>
                </c:pt>
                <c:pt idx="2">
                  <c:v>Agriculture, forestry &amp; fishing</c:v>
                </c:pt>
                <c:pt idx="3">
                  <c:v>Public admin, education &amp; health</c:v>
                </c:pt>
                <c:pt idx="4">
                  <c:v>Other sectors (manufacturing, services...)</c:v>
                </c:pt>
                <c:pt idx="5">
                  <c:v>Taxes less subsidies on products</c:v>
                </c:pt>
              </c:strCache>
            </c:strRef>
          </c:cat>
          <c:val>
            <c:numRef>
              <c:f>Dashboard!$G$13:$G$18</c:f>
              <c:numCache>
                <c:formatCode>0.00</c:formatCode>
                <c:ptCount val="6"/>
                <c:pt idx="0">
                  <c:v>1.31315608480541</c:v>
                </c:pt>
                <c:pt idx="1">
                  <c:v>1.01365820765967</c:v>
                </c:pt>
                <c:pt idx="2">
                  <c:v>0.78828096974967</c:v>
                </c:pt>
                <c:pt idx="3">
                  <c:v>0.674865428872782</c:v>
                </c:pt>
                <c:pt idx="4">
                  <c:v>1.13191398534554</c:v>
                </c:pt>
                <c:pt idx="5">
                  <c:v>0.142475203999283</c:v>
                </c:pt>
              </c:numCache>
            </c:numRef>
          </c:val>
        </c:ser>
        <c:gapWidth val="150"/>
        <c:overlap val="0"/>
        <c:axId val="65353570"/>
        <c:axId val="57103999"/>
      </c:barChart>
      <c:catAx>
        <c:axId val="6535357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103999"/>
        <c:crosses val="autoZero"/>
        <c:auto val="1"/>
        <c:lblAlgn val="ctr"/>
        <c:lblOffset val="100"/>
        <c:noMultiLvlLbl val="0"/>
      </c:catAx>
      <c:valAx>
        <c:axId val="57103999"/>
        <c:scaling>
          <c:orientation val="minMax"/>
        </c:scaling>
        <c:delete val="0"/>
        <c:axPos val="l"/>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35357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Real GDP growth, 2007-2025e</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History!$A$6:$A$24</c:f>
              <c:strCache>
                <c:ptCount val="19"/>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2025e</c:v>
                </c:pt>
              </c:strCache>
            </c:strRef>
          </c:cat>
          <c:val>
            <c:numRef>
              <c:f>History!$D$6:$D$24</c:f>
              <c:numCache>
                <c:formatCode>0.0%;\(0.0%\);\-</c:formatCode>
                <c:ptCount val="19"/>
                <c:pt idx="0">
                  <c:v>0.0781518934870362</c:v>
                </c:pt>
                <c:pt idx="1">
                  <c:v>-0.00296457696170072</c:v>
                </c:pt>
                <c:pt idx="2">
                  <c:v>0.0680042128060494</c:v>
                </c:pt>
                <c:pt idx="3">
                  <c:v>0.101284541028233</c:v>
                </c:pt>
                <c:pt idx="4">
                  <c:v>0.0110754359676484</c:v>
                </c:pt>
                <c:pt idx="5">
                  <c:v>0.0465711963516691</c:v>
                </c:pt>
                <c:pt idx="6">
                  <c:v>0.0382477221395985</c:v>
                </c:pt>
                <c:pt idx="7">
                  <c:v>0.135440522973704</c:v>
                </c:pt>
                <c:pt idx="8">
                  <c:v>0.0657792344793056</c:v>
                </c:pt>
                <c:pt idx="9">
                  <c:v>0.0549015555731855</c:v>
                </c:pt>
                <c:pt idx="10">
                  <c:v>0.0353437650847246</c:v>
                </c:pt>
                <c:pt idx="11">
                  <c:v>-0.00279252336784286</c:v>
                </c:pt>
                <c:pt idx="12">
                  <c:v>0.044805146409826</c:v>
                </c:pt>
                <c:pt idx="13">
                  <c:v>-0.0316743204087674</c:v>
                </c:pt>
                <c:pt idx="14">
                  <c:v>-0.00511353444150697</c:v>
                </c:pt>
                <c:pt idx="15">
                  <c:v>0.0570758411822099</c:v>
                </c:pt>
                <c:pt idx="16">
                  <c:v>0.0381088613394931</c:v>
                </c:pt>
                <c:pt idx="17">
                  <c:v>0.0388831283401885</c:v>
                </c:pt>
                <c:pt idx="18">
                  <c:v>0.0506379275001541</c:v>
                </c:pt>
              </c:numCache>
            </c:numRef>
          </c:val>
        </c:ser>
        <c:gapWidth val="150"/>
        <c:overlap val="0"/>
        <c:axId val="6834182"/>
        <c:axId val="10981613"/>
      </c:barChart>
      <c:catAx>
        <c:axId val="683418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981613"/>
        <c:crosses val="autoZero"/>
        <c:auto val="1"/>
        <c:lblAlgn val="ctr"/>
        <c:lblOffset val="100"/>
        <c:noMultiLvlLbl val="0"/>
      </c:catAx>
      <c:valAx>
        <c:axId val="10981613"/>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3418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Resource volumes: change 2024 -&gt; 2025 (DoT)</a:t>
            </a:r>
          </a:p>
        </c:rich>
      </c:tx>
      <c:overlay val="0"/>
      <c:spPr>
        <a:noFill/>
        <a:ln w="0">
          <a:noFill/>
        </a:ln>
      </c:spPr>
    </c:title>
    <c:autoTitleDeleted val="0"/>
    <c:plotArea>
      <c:barChart>
        <c:barDir val="bar"/>
        <c:grouping val="clustered"/>
        <c:varyColors val="0"/>
        <c:ser>
          <c:idx val="0"/>
          <c:order val="0"/>
          <c:tx>
            <c:strRef>
              <c:f>Dashboard!B32</c:f>
              <c:strCache>
                <c:ptCount val="1"/>
                <c:pt idx="0">
                  <c:v>Volume change 2025</c:v>
                </c:pt>
              </c:strCache>
            </c:strRef>
          </c:tx>
          <c:spPr>
            <a:solidFill>
              <a:srgbClr val="4f81bd"/>
            </a:solidFill>
            <a:ln w="0">
              <a:no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Dashboard!$A$33:$A$41</c:f>
              <c:strCache>
                <c:ptCount val="9"/>
                <c:pt idx="0">
                  <c:v>Petroleum (oil)</c:v>
                </c:pt>
                <c:pt idx="1">
                  <c:v>LNG</c:v>
                </c:pt>
                <c:pt idx="2">
                  <c:v>Condensate</c:v>
                </c:pt>
                <c:pt idx="3">
                  <c:v>Copper</c:v>
                </c:pt>
                <c:pt idx="4">
                  <c:v>Gold</c:v>
                </c:pt>
                <c:pt idx="5">
                  <c:v>Silver</c:v>
                </c:pt>
                <c:pt idx="6">
                  <c:v>Nickel</c:v>
                </c:pt>
                <c:pt idx="7">
                  <c:v>Cobalt</c:v>
                </c:pt>
                <c:pt idx="8">
                  <c:v>Household / alluvial (HH)</c:v>
                </c:pt>
              </c:strCache>
            </c:strRef>
          </c:cat>
          <c:val>
            <c:numRef>
              <c:f>Dashboard!$B$33:$B$41</c:f>
              <c:numCache>
                <c:formatCode>0.0%;\(0.0%\);\-</c:formatCode>
                <c:ptCount val="9"/>
                <c:pt idx="0">
                  <c:v>-0.163784246575342</c:v>
                </c:pt>
                <c:pt idx="1">
                  <c:v>0.0681818181818181</c:v>
                </c:pt>
                <c:pt idx="2">
                  <c:v>0.342024539877301</c:v>
                </c:pt>
                <c:pt idx="3">
                  <c:v>0.0268497236715248</c:v>
                </c:pt>
                <c:pt idx="4">
                  <c:v>0.14863968501159</c:v>
                </c:pt>
                <c:pt idx="5">
                  <c:v>0.0929321198923636</c:v>
                </c:pt>
                <c:pt idx="6">
                  <c:v>0.145704132721338</c:v>
                </c:pt>
                <c:pt idx="7">
                  <c:v>0.176238844426498</c:v>
                </c:pt>
                <c:pt idx="8">
                  <c:v>0.0309999999999999</c:v>
                </c:pt>
              </c:numCache>
            </c:numRef>
          </c:val>
        </c:ser>
        <c:gapWidth val="150"/>
        <c:overlap val="0"/>
        <c:axId val="78437052"/>
        <c:axId val="79272012"/>
      </c:barChart>
      <c:catAx>
        <c:axId val="7843705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272012"/>
        <c:crosses val="autoZero"/>
        <c:auto val="1"/>
        <c:lblAlgn val="ctr"/>
        <c:lblOffset val="100"/>
        <c:noMultiLvlLbl val="0"/>
      </c:catAx>
      <c:valAx>
        <c:axId val="79272012"/>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43705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Real GDP: resource vs non-resource (K m, 2013 prices)</a:t>
            </a:r>
          </a:p>
        </c:rich>
      </c:tx>
      <c:overlay val="0"/>
      <c:spPr>
        <a:noFill/>
        <a:ln w="0">
          <a:noFill/>
        </a:ln>
      </c:spPr>
    </c:title>
    <c:autoTitleDeleted val="0"/>
    <c:plotArea>
      <c:lineChart>
        <c:grouping val="standard"/>
        <c:varyColors val="0"/>
        <c:ser>
          <c:idx val="0"/>
          <c:order val="0"/>
          <c:tx>
            <c:strRef>
              <c:f>History!Q4</c:f>
              <c:strCache>
                <c:ptCount val="1"/>
                <c:pt idx="0">
                  <c:v>Resource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History!$A$5:$A$24</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2025e</c:v>
                </c:pt>
              </c:strCache>
            </c:strRef>
          </c:cat>
          <c:val>
            <c:numRef>
              <c:f>History!$Q$5:$Q$24</c:f>
              <c:numCache>
                <c:formatCode>#,##0;\(#,##0\);\-</c:formatCode>
                <c:ptCount val="20"/>
                <c:pt idx="0">
                  <c:v>7320.93405975259</c:v>
                </c:pt>
                <c:pt idx="1">
                  <c:v>7411.88357386588</c:v>
                </c:pt>
                <c:pt idx="2">
                  <c:v>6959.29557347664</c:v>
                </c:pt>
                <c:pt idx="3">
                  <c:v>8167.04727614735</c:v>
                </c:pt>
                <c:pt idx="4">
                  <c:v>8115.49588706363</c:v>
                </c:pt>
                <c:pt idx="5">
                  <c:v>6887.67827046506</c:v>
                </c:pt>
                <c:pt idx="6">
                  <c:v>6166.11842766622</c:v>
                </c:pt>
                <c:pt idx="7">
                  <c:v>6478.35431992707</c:v>
                </c:pt>
                <c:pt idx="8">
                  <c:v>11263.6742984657</c:v>
                </c:pt>
                <c:pt idx="9">
                  <c:v>16586.0494349788</c:v>
                </c:pt>
                <c:pt idx="10">
                  <c:v>19123.9135282491</c:v>
                </c:pt>
                <c:pt idx="11">
                  <c:v>20667.3266649831</c:v>
                </c:pt>
                <c:pt idx="12">
                  <c:v>18775.2739574722</c:v>
                </c:pt>
                <c:pt idx="13">
                  <c:v>20889.0857884923</c:v>
                </c:pt>
                <c:pt idx="14">
                  <c:v>18976.6761184738</c:v>
                </c:pt>
                <c:pt idx="15">
                  <c:v>16774.2977632353</c:v>
                </c:pt>
                <c:pt idx="16">
                  <c:v>17636.0584181521</c:v>
                </c:pt>
                <c:pt idx="17">
                  <c:v>17866.5701337077</c:v>
                </c:pt>
                <c:pt idx="18">
                  <c:v>18292.9367885957</c:v>
                </c:pt>
                <c:pt idx="19">
                  <c:v>19972.2454135061</c:v>
                </c:pt>
              </c:numCache>
            </c:numRef>
          </c:val>
          <c:smooth val="0"/>
        </c:ser>
        <c:ser>
          <c:idx val="1"/>
          <c:order val="1"/>
          <c:tx>
            <c:strRef>
              <c:f>History!R4</c:f>
              <c:strCache>
                <c:ptCount val="1"/>
                <c:pt idx="0">
                  <c:v>Non-resource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History!$A$5:$A$24</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2025e</c:v>
                </c:pt>
              </c:strCache>
            </c:strRef>
          </c:cat>
          <c:val>
            <c:numRef>
              <c:f>History!$R$5:$R$24</c:f>
              <c:numCache>
                <c:formatCode>#,##0;\(#,##0\);\-</c:formatCode>
                <c:ptCount val="20"/>
                <c:pt idx="0">
                  <c:v>27034.468196761</c:v>
                </c:pt>
                <c:pt idx="1">
                  <c:v>29628.458420503</c:v>
                </c:pt>
                <c:pt idx="2">
                  <c:v>29971.2374763622</c:v>
                </c:pt>
                <c:pt idx="3">
                  <c:v>31274.9176022536</c:v>
                </c:pt>
                <c:pt idx="4">
                  <c:v>35321.3303012978</c:v>
                </c:pt>
                <c:pt idx="5">
                  <c:v>37030.2297049835</c:v>
                </c:pt>
                <c:pt idx="6">
                  <c:v>39797.0990634615</c:v>
                </c:pt>
                <c:pt idx="7">
                  <c:v>41242.8515424432</c:v>
                </c:pt>
                <c:pt idx="8">
                  <c:v>42920.9166428398</c:v>
                </c:pt>
                <c:pt idx="9">
                  <c:v>41162.7624190201</c:v>
                </c:pt>
                <c:pt idx="10">
                  <c:v>41795.3979290375</c:v>
                </c:pt>
                <c:pt idx="11">
                  <c:v>42405.1026255731</c:v>
                </c:pt>
                <c:pt idx="12">
                  <c:v>44121.0241004235</c:v>
                </c:pt>
                <c:pt idx="13">
                  <c:v>44825.2901125234</c:v>
                </c:pt>
                <c:pt idx="14">
                  <c:v>44656.2415847909</c:v>
                </c:pt>
                <c:pt idx="15">
                  <c:v>46533.2308237403</c:v>
                </c:pt>
                <c:pt idx="16">
                  <c:v>49284.8006160919</c:v>
                </c:pt>
                <c:pt idx="17">
                  <c:v>51604.5666381921</c:v>
                </c:pt>
                <c:pt idx="18">
                  <c:v>53879.4551103446</c:v>
                </c:pt>
                <c:pt idx="19">
                  <c:v>55854.8068339254</c:v>
                </c:pt>
              </c:numCache>
            </c:numRef>
          </c:val>
          <c:smooth val="0"/>
        </c:ser>
        <c:hiLowLines>
          <c:spPr>
            <a:ln w="0">
              <a:noFill/>
            </a:ln>
          </c:spPr>
        </c:hiLowLines>
        <c:marker val="0"/>
        <c:axId val="82316871"/>
        <c:axId val="83872348"/>
      </c:lineChart>
      <c:catAx>
        <c:axId val="8231687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872348"/>
        <c:crosses val="autoZero"/>
        <c:auto val="1"/>
        <c:lblAlgn val="ctr"/>
        <c:lblOffset val="100"/>
        <c:noMultiLvlLbl val="0"/>
      </c:catAx>
      <c:valAx>
        <c:axId val="8387234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31687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160560</xdr:rowOff>
    </xdr:from>
    <xdr:to>
      <xdr:col>18</xdr:col>
      <xdr:colOff>255960</xdr:colOff>
      <xdr:row>19</xdr:row>
      <xdr:rowOff>121680</xdr:rowOff>
    </xdr:to>
    <xdr:graphicFrame>
      <xdr:nvGraphicFramePr>
        <xdr:cNvPr id="0" name="Chart 1"/>
        <xdr:cNvGraphicFramePr/>
      </xdr:nvGraphicFramePr>
      <xdr:xfrm>
        <a:off x="10902240" y="380880"/>
        <a:ext cx="575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22</xdr:row>
      <xdr:rowOff>370080</xdr:rowOff>
    </xdr:from>
    <xdr:to>
      <xdr:col>18</xdr:col>
      <xdr:colOff>255960</xdr:colOff>
      <xdr:row>35</xdr:row>
      <xdr:rowOff>174240</xdr:rowOff>
    </xdr:to>
    <xdr:graphicFrame>
      <xdr:nvGraphicFramePr>
        <xdr:cNvPr id="1" name="Chart 2"/>
        <xdr:cNvGraphicFramePr/>
      </xdr:nvGraphicFramePr>
      <xdr:xfrm>
        <a:off x="10902240" y="4800600"/>
        <a:ext cx="575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38</xdr:row>
      <xdr:rowOff>160920</xdr:rowOff>
    </xdr:from>
    <xdr:to>
      <xdr:col>18</xdr:col>
      <xdr:colOff>255960</xdr:colOff>
      <xdr:row>53</xdr:row>
      <xdr:rowOff>2880</xdr:rowOff>
    </xdr:to>
    <xdr:graphicFrame>
      <xdr:nvGraphicFramePr>
        <xdr:cNvPr id="2" name="Chart 3"/>
        <xdr:cNvGraphicFramePr/>
      </xdr:nvGraphicFramePr>
      <xdr:xfrm>
        <a:off x="10902240" y="8058240"/>
        <a:ext cx="575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54</xdr:row>
      <xdr:rowOff>160560</xdr:rowOff>
    </xdr:from>
    <xdr:to>
      <xdr:col>18</xdr:col>
      <xdr:colOff>255960</xdr:colOff>
      <xdr:row>69</xdr:row>
      <xdr:rowOff>2520</xdr:rowOff>
    </xdr:to>
    <xdr:graphicFrame>
      <xdr:nvGraphicFramePr>
        <xdr:cNvPr id="3" name="Chart 4"/>
        <xdr:cNvGraphicFramePr/>
      </xdr:nvGraphicFramePr>
      <xdr:xfrm>
        <a:off x="10902240" y="11106000"/>
        <a:ext cx="575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B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row>
    <row r="5" customFormat="false" ht="42" hidden="false" customHeight="true" outlineLevel="0" collapsed="false">
      <c r="A5" s="4" t="s">
        <v>3</v>
      </c>
      <c r="B5" s="4"/>
    </row>
    <row r="6" customFormat="false" ht="15" hidden="false" customHeight="false" outlineLevel="0" collapsed="false">
      <c r="A6" s="4"/>
      <c r="B6" s="4"/>
    </row>
    <row r="7" customFormat="false" ht="42" hidden="false" customHeight="true" outlineLevel="0" collapsed="false">
      <c r="A7" s="4" t="s">
        <v>4</v>
      </c>
      <c r="B7" s="4"/>
    </row>
    <row r="8" customFormat="false" ht="15" hidden="false" customHeight="false" outlineLevel="0" collapsed="false">
      <c r="A8" s="5" t="s">
        <v>5</v>
      </c>
      <c r="B8" s="6" t="s">
        <v>6</v>
      </c>
    </row>
    <row r="9" customFormat="false" ht="27.75" hidden="false" customHeight="true" outlineLevel="0" collapsed="false">
      <c r="A9" s="5" t="s">
        <v>7</v>
      </c>
      <c r="B9" s="6" t="s">
        <v>8</v>
      </c>
    </row>
    <row r="10" customFormat="false" ht="15" hidden="false" customHeight="false" outlineLevel="0" collapsed="false">
      <c r="A10" s="5" t="s">
        <v>9</v>
      </c>
      <c r="B10" s="6" t="s">
        <v>10</v>
      </c>
    </row>
    <row r="11" customFormat="false" ht="15" hidden="false" customHeight="false" outlineLevel="0" collapsed="false">
      <c r="A11" s="4"/>
      <c r="B11" s="4"/>
    </row>
    <row r="12" customFormat="false" ht="42" hidden="false" customHeight="true" outlineLevel="0" collapsed="false">
      <c r="A12" s="4" t="s">
        <v>11</v>
      </c>
      <c r="B12" s="4"/>
    </row>
    <row r="13" customFormat="false" ht="27.75" hidden="false" customHeight="true" outlineLevel="0" collapsed="false">
      <c r="A13" s="5" t="s">
        <v>12</v>
      </c>
      <c r="B13" s="6" t="s">
        <v>13</v>
      </c>
    </row>
    <row r="14" customFormat="false" ht="27.75" hidden="false" customHeight="true" outlineLevel="0" collapsed="false">
      <c r="A14" s="5" t="s">
        <v>14</v>
      </c>
      <c r="B14" s="6" t="s">
        <v>15</v>
      </c>
    </row>
    <row r="15" customFormat="false" ht="27.75" hidden="false" customHeight="true" outlineLevel="0" collapsed="false">
      <c r="A15" s="5" t="s">
        <v>16</v>
      </c>
      <c r="B15" s="6" t="s">
        <v>17</v>
      </c>
    </row>
    <row r="16" customFormat="false" ht="27.75" hidden="false" customHeight="true" outlineLevel="0" collapsed="false">
      <c r="A16" s="5" t="s">
        <v>18</v>
      </c>
      <c r="B16" s="6" t="s">
        <v>19</v>
      </c>
    </row>
    <row r="17" customFormat="false" ht="27.75" hidden="false" customHeight="true" outlineLevel="0" collapsed="false">
      <c r="A17" s="5" t="s">
        <v>20</v>
      </c>
      <c r="B17" s="6" t="s">
        <v>21</v>
      </c>
    </row>
    <row r="18" customFormat="false" ht="15" hidden="false" customHeight="false" outlineLevel="0" collapsed="false">
      <c r="A18" s="5" t="s">
        <v>22</v>
      </c>
      <c r="B18" s="6" t="s">
        <v>23</v>
      </c>
    </row>
    <row r="19" customFormat="false" ht="27.75" hidden="false" customHeight="true" outlineLevel="0" collapsed="false">
      <c r="A19" s="5" t="s">
        <v>24</v>
      </c>
      <c r="B19" s="6" t="s">
        <v>25</v>
      </c>
    </row>
    <row r="20" customFormat="false" ht="15" hidden="false" customHeight="false" outlineLevel="0" collapsed="false">
      <c r="A20" s="4"/>
      <c r="B20" s="4"/>
    </row>
    <row r="21" customFormat="false" ht="15" hidden="false" customHeight="false" outlineLevel="0" collapsed="false">
      <c r="A21" s="3" t="s">
        <v>26</v>
      </c>
      <c r="B21" s="3"/>
    </row>
    <row r="22" customFormat="false" ht="15" hidden="false" customHeight="false" outlineLevel="0" collapsed="false">
      <c r="A22" s="5" t="s">
        <v>27</v>
      </c>
      <c r="B22" s="6" t="s">
        <v>28</v>
      </c>
    </row>
    <row r="23" customFormat="false" ht="15" hidden="false" customHeight="false" outlineLevel="0" collapsed="false">
      <c r="A23" s="5" t="s">
        <v>29</v>
      </c>
      <c r="B23" s="6" t="s">
        <v>30</v>
      </c>
    </row>
    <row r="24" customFormat="false" ht="15" hidden="false" customHeight="false" outlineLevel="0" collapsed="false">
      <c r="A24" s="5" t="s">
        <v>31</v>
      </c>
      <c r="B24" s="6" t="s">
        <v>32</v>
      </c>
    </row>
    <row r="25" customFormat="false" ht="15" hidden="false" customHeight="false" outlineLevel="0" collapsed="false">
      <c r="A25" s="5" t="s">
        <v>33</v>
      </c>
      <c r="B25" s="6" t="s">
        <v>34</v>
      </c>
    </row>
    <row r="26" customFormat="false" ht="27.75" hidden="false" customHeight="true" outlineLevel="0" collapsed="false">
      <c r="A26" s="5" t="s">
        <v>35</v>
      </c>
      <c r="B26" s="6" t="s">
        <v>36</v>
      </c>
    </row>
    <row r="27" customFormat="false" ht="15" hidden="false" customHeight="false" outlineLevel="0" collapsed="false">
      <c r="A27" s="5" t="s">
        <v>37</v>
      </c>
      <c r="B27" s="6" t="s">
        <v>38</v>
      </c>
    </row>
    <row r="28" customFormat="false" ht="15" hidden="false" customHeight="false" outlineLevel="0" collapsed="false">
      <c r="A28" s="5" t="s">
        <v>39</v>
      </c>
      <c r="B28" s="6" t="s">
        <v>40</v>
      </c>
    </row>
    <row r="29" customFormat="false" ht="15" hidden="false" customHeight="false" outlineLevel="0" collapsed="false">
      <c r="A29" s="4"/>
      <c r="B29" s="4"/>
    </row>
    <row r="30" customFormat="false" ht="42" hidden="false" customHeight="true" outlineLevel="0" collapsed="false">
      <c r="A30" s="4" t="s">
        <v>41</v>
      </c>
      <c r="B30" s="4"/>
    </row>
    <row r="31" customFormat="false" ht="15" hidden="false" customHeight="false" outlineLevel="0" collapsed="false">
      <c r="A31" s="7" t="s">
        <v>42</v>
      </c>
      <c r="B31" s="6" t="s">
        <v>43</v>
      </c>
    </row>
    <row r="32" customFormat="false" ht="15" hidden="false" customHeight="false" outlineLevel="0" collapsed="false">
      <c r="A32" s="8" t="s">
        <v>44</v>
      </c>
      <c r="B32" s="6" t="s">
        <v>45</v>
      </c>
    </row>
    <row r="33" customFormat="false" ht="15" hidden="false" customHeight="false" outlineLevel="0" collapsed="false">
      <c r="A33" s="5" t="s">
        <v>46</v>
      </c>
      <c r="B33" s="6" t="s">
        <v>47</v>
      </c>
    </row>
    <row r="34" customFormat="false" ht="15" hidden="false" customHeight="false" outlineLevel="0" collapsed="false">
      <c r="A34" s="9" t="s">
        <v>48</v>
      </c>
      <c r="B34" s="6" t="s">
        <v>49</v>
      </c>
    </row>
    <row r="35" customFormat="false" ht="15" hidden="false" customHeight="false" outlineLevel="0" collapsed="false">
      <c r="A35" s="4"/>
      <c r="B35" s="4"/>
    </row>
    <row r="36" customFormat="false" ht="27.75" hidden="false" customHeight="true" outlineLevel="0" collapsed="false">
      <c r="A36" s="5" t="s">
        <v>50</v>
      </c>
      <c r="B36" s="6" t="s">
        <v>51</v>
      </c>
    </row>
  </sheetData>
  <mergeCells count="11">
    <mergeCell ref="A4:B4"/>
    <mergeCell ref="A5:B5"/>
    <mergeCell ref="A6:B6"/>
    <mergeCell ref="A7:B7"/>
    <mergeCell ref="A11:B11"/>
    <mergeCell ref="A12:B12"/>
    <mergeCell ref="A20:B20"/>
    <mergeCell ref="A21:B21"/>
    <mergeCell ref="A29:B29"/>
    <mergeCell ref="A30:B30"/>
    <mergeCell ref="A35:B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4" min="2" style="0" width="16"/>
    <col collapsed="false" customWidth="true" hidden="false" outlineLevel="0" max="6" min="5" style="0" width="14"/>
    <col collapsed="false" customWidth="true" hidden="false" outlineLevel="0" max="7" min="7" style="0" width="16"/>
    <col collapsed="false" customWidth="true" hidden="false" outlineLevel="0" max="8" min="8" style="0" width="14"/>
  </cols>
  <sheetData>
    <row r="1" customFormat="false" ht="17.35" hidden="false" customHeight="false" outlineLevel="0" collapsed="false">
      <c r="A1" s="1" t="s">
        <v>52</v>
      </c>
    </row>
    <row r="2" customFormat="false" ht="15" hidden="false" customHeight="false" outlineLevel="0" collapsed="false">
      <c r="A2" s="2" t="s">
        <v>53</v>
      </c>
    </row>
    <row r="4" customFormat="false" ht="15" hidden="false" customHeight="false" outlineLevel="0" collapsed="false">
      <c r="A4" s="10" t="s">
        <v>54</v>
      </c>
      <c r="B4" s="10"/>
      <c r="C4" s="10" t="s">
        <v>55</v>
      </c>
      <c r="D4" s="10"/>
      <c r="E4" s="10" t="s">
        <v>56</v>
      </c>
      <c r="F4" s="10"/>
      <c r="G4" s="10" t="s">
        <v>57</v>
      </c>
      <c r="H4" s="10"/>
    </row>
    <row r="5" customFormat="false" ht="15" hidden="false" customHeight="false" outlineLevel="0" collapsed="false">
      <c r="A5" s="11" t="n">
        <f aca="false">E19</f>
        <v>0.0506434988043234</v>
      </c>
      <c r="B5" s="11"/>
      <c r="C5" s="12" t="n">
        <f aca="false">D19</f>
        <v>75827.0522474316</v>
      </c>
      <c r="D5" s="12"/>
      <c r="E5" s="11" t="n">
        <f aca="false">E21</f>
        <v>0.0366697930773654</v>
      </c>
      <c r="F5" s="11"/>
      <c r="G5" s="11" t="n">
        <f aca="false">E20</f>
        <v>0.091800930835632</v>
      </c>
      <c r="H5" s="11"/>
    </row>
    <row r="6" customFormat="false" ht="15" hidden="false" customHeight="false" outlineLevel="0" collapsed="false">
      <c r="A6" s="11"/>
      <c r="B6" s="11"/>
      <c r="C6" s="12"/>
      <c r="D6" s="12"/>
      <c r="E6" s="11"/>
      <c r="F6" s="11"/>
      <c r="G6" s="11"/>
      <c r="H6" s="11"/>
    </row>
    <row r="8" customFormat="false" ht="15" hidden="false" customHeight="false" outlineLevel="0" collapsed="false">
      <c r="A8" s="13" t="s">
        <v>58</v>
      </c>
      <c r="B8" s="13"/>
      <c r="C8" s="13" t="s">
        <v>59</v>
      </c>
      <c r="D8" s="13"/>
      <c r="E8" s="13" t="s">
        <v>60</v>
      </c>
      <c r="F8" s="13"/>
      <c r="G8" s="13" t="s">
        <v>61</v>
      </c>
      <c r="H8" s="13"/>
    </row>
    <row r="9" customFormat="false" ht="15" hidden="false" customHeight="false" outlineLevel="0" collapsed="false">
      <c r="A9" s="14" t="n">
        <f aca="false">D25</f>
        <v>133255.436841488</v>
      </c>
      <c r="B9" s="14"/>
      <c r="C9" s="15" t="n">
        <f aca="false">E25</f>
        <v>0.122814799788858</v>
      </c>
      <c r="D9" s="15"/>
      <c r="E9" s="15" t="n">
        <f aca="false">E24</f>
        <v>0.0686924737712351</v>
      </c>
      <c r="F9" s="15"/>
      <c r="G9" s="15" t="n">
        <f aca="false">E27</f>
        <v>0.0235734949431172</v>
      </c>
      <c r="H9" s="15"/>
    </row>
    <row r="10" customFormat="false" ht="15" hidden="false" customHeight="false" outlineLevel="0" collapsed="false">
      <c r="A10" s="14"/>
      <c r="B10" s="14"/>
      <c r="C10" s="15"/>
      <c r="D10" s="15"/>
      <c r="E10" s="15"/>
      <c r="F10" s="15"/>
      <c r="G10" s="15"/>
      <c r="H10" s="15"/>
    </row>
    <row r="12" customFormat="false" ht="31.5" hidden="false" customHeight="true" outlineLevel="0" collapsed="false">
      <c r="A12" s="16" t="s">
        <v>62</v>
      </c>
      <c r="B12" s="16" t="s">
        <v>63</v>
      </c>
      <c r="C12" s="16" t="s">
        <v>64</v>
      </c>
      <c r="D12" s="16" t="s">
        <v>65</v>
      </c>
      <c r="E12" s="16" t="s">
        <v>66</v>
      </c>
      <c r="F12" s="16" t="s">
        <v>67</v>
      </c>
      <c r="G12" s="16" t="s">
        <v>68</v>
      </c>
    </row>
    <row r="13" customFormat="false" ht="15" hidden="false" customHeight="false" outlineLevel="0" collapsed="false">
      <c r="A13" s="17" t="s">
        <v>69</v>
      </c>
      <c r="B13" s="18" t="s">
        <v>70</v>
      </c>
      <c r="C13" s="19" t="n">
        <f aca="false">Resource!K14</f>
        <v>12189.8306274372</v>
      </c>
      <c r="D13" s="19" t="n">
        <f aca="false">Resource!L14</f>
        <v>13137.5617575959</v>
      </c>
      <c r="E13" s="20" t="n">
        <f aca="false">IF(C13=0,0,D13/C13-1)</f>
        <v>0.077747686503989</v>
      </c>
      <c r="F13" s="20" t="n">
        <f aca="false">D13/$D$19</f>
        <v>0.173256923066542</v>
      </c>
      <c r="G13" s="21" t="n">
        <f aca="false">(D13-C13)/$C$19*100</f>
        <v>1.31315608480541</v>
      </c>
    </row>
    <row r="14" customFormat="false" ht="15" hidden="false" customHeight="false" outlineLevel="0" collapsed="false">
      <c r="A14" s="17" t="s">
        <v>71</v>
      </c>
      <c r="B14" s="18" t="s">
        <v>70</v>
      </c>
      <c r="C14" s="19" t="n">
        <f aca="false">Resource!K15</f>
        <v>6103.10616115848</v>
      </c>
      <c r="D14" s="19" t="n">
        <f aca="false">Resource!L15</f>
        <v>6834.68365591023</v>
      </c>
      <c r="E14" s="20" t="n">
        <f aca="false">IF(C14=0,0,D14/C14-1)</f>
        <v>0.119869698385335</v>
      </c>
      <c r="F14" s="20" t="n">
        <f aca="false">D14/$D$19</f>
        <v>0.09013516223218</v>
      </c>
      <c r="G14" s="21" t="n">
        <f aca="false">(D14-C14)/$C$19*100</f>
        <v>1.01365820765967</v>
      </c>
    </row>
    <row r="15" customFormat="false" ht="15" hidden="false" customHeight="false" outlineLevel="0" collapsed="false">
      <c r="A15" s="17" t="s">
        <v>16</v>
      </c>
      <c r="B15" s="18" t="s">
        <v>72</v>
      </c>
      <c r="C15" s="19" t="n">
        <f aca="false">AFF!G24</f>
        <v>11373.2253827072</v>
      </c>
      <c r="D15" s="19" t="n">
        <f aca="false">AFF!H24</f>
        <v>11942.1435966103</v>
      </c>
      <c r="E15" s="20" t="n">
        <f aca="false">IF(C15=0,0,D15/C15-1)</f>
        <v>0.0500225920756052</v>
      </c>
      <c r="F15" s="20" t="n">
        <f aca="false">D15/$D$19</f>
        <v>0.157491861316748</v>
      </c>
      <c r="G15" s="21" t="n">
        <f aca="false">(D15-C15)/$C$19*100</f>
        <v>0.78828096974967</v>
      </c>
    </row>
    <row r="16" customFormat="false" ht="15" hidden="false" customHeight="false" outlineLevel="0" collapsed="false">
      <c r="A16" s="17" t="s">
        <v>73</v>
      </c>
      <c r="B16" s="18" t="s">
        <v>72</v>
      </c>
      <c r="C16" s="19" t="n">
        <f aca="false">Public_Admin!C14</f>
        <v>8154.80873167867</v>
      </c>
      <c r="D16" s="19" t="n">
        <f aca="false">Public_Admin!G14</f>
        <v>8641.87267100118</v>
      </c>
      <c r="E16" s="20" t="n">
        <f aca="false">IF(C16=0,0,D16/C16-1)</f>
        <v>0.059727205793366</v>
      </c>
      <c r="F16" s="20" t="n">
        <f aca="false">D16/$D$19</f>
        <v>0.11396820019855</v>
      </c>
      <c r="G16" s="21" t="n">
        <f aca="false">(D16-C16)/$C$19*100</f>
        <v>0.674865428872782</v>
      </c>
    </row>
    <row r="17" customFormat="false" ht="15" hidden="false" customHeight="false" outlineLevel="0" collapsed="false">
      <c r="A17" s="17" t="s">
        <v>74</v>
      </c>
      <c r="B17" s="18" t="s">
        <v>72</v>
      </c>
      <c r="C17" s="19" t="n">
        <f aca="false">Other_Sectors!B23</f>
        <v>30889.6462916739</v>
      </c>
      <c r="D17" s="19" t="n">
        <f aca="false">Other_Sectors!E23</f>
        <v>31706.5713571606</v>
      </c>
      <c r="E17" s="20" t="n">
        <f aca="false">IF(C17=0,0,D17/C17-1)</f>
        <v>0.0264465658743054</v>
      </c>
      <c r="F17" s="20" t="n">
        <f aca="false">D17/$D$19</f>
        <v>0.418143267045365</v>
      </c>
      <c r="G17" s="21" t="n">
        <f aca="false">(D17-C17)/$C$19*100</f>
        <v>1.13191398534554</v>
      </c>
    </row>
    <row r="18" customFormat="false" ht="15" hidden="false" customHeight="false" outlineLevel="0" collapsed="false">
      <c r="A18" s="17" t="s">
        <v>75</v>
      </c>
      <c r="B18" s="18" t="s">
        <v>72</v>
      </c>
      <c r="C18" s="19" t="n">
        <f aca="false">Other_Sectors!B26</f>
        <v>3461.39199183448</v>
      </c>
      <c r="D18" s="19" t="n">
        <f aca="false">Other_Sectors!E26</f>
        <v>3564.21920915331</v>
      </c>
      <c r="E18" s="20" t="n">
        <f aca="false">IF(C18=0,0,D18/C18-1)</f>
        <v>0.029706897560694</v>
      </c>
      <c r="F18" s="20" t="n">
        <f aca="false">D18/$D$19</f>
        <v>0.047004586140615</v>
      </c>
      <c r="G18" s="21" t="n">
        <f aca="false">(D18-C18)/$C$19*100</f>
        <v>0.142475203999283</v>
      </c>
    </row>
    <row r="19" customFormat="false" ht="15" hidden="false" customHeight="false" outlineLevel="0" collapsed="false">
      <c r="A19" s="22" t="s">
        <v>76</v>
      </c>
      <c r="B19" s="23"/>
      <c r="C19" s="24" t="n">
        <f aca="false">SUM(C13:C18)</f>
        <v>72172.0091864899</v>
      </c>
      <c r="D19" s="24" t="n">
        <f aca="false">SUM(D13:D18)</f>
        <v>75827.0522474316</v>
      </c>
      <c r="E19" s="25" t="n">
        <f aca="false">D19/C19-1</f>
        <v>0.0506434988043234</v>
      </c>
      <c r="F19" s="25" t="n">
        <f aca="false">SUM(F13:F18)</f>
        <v>1</v>
      </c>
      <c r="G19" s="26" t="n">
        <f aca="false">SUM(G13:G18)</f>
        <v>5.06434988043235</v>
      </c>
    </row>
    <row r="20" customFormat="false" ht="15" hidden="false" customHeight="false" outlineLevel="0" collapsed="false">
      <c r="A20" s="27" t="s">
        <v>77</v>
      </c>
      <c r="B20" s="28"/>
      <c r="C20" s="29" t="n">
        <f aca="false">SUMIF($B$13:$B$18,"Resource",C$13:C$18)</f>
        <v>18292.9367885957</v>
      </c>
      <c r="D20" s="29" t="n">
        <f aca="false">SUMIF($B$13:$B$18,"Resource",D$13:D$18)</f>
        <v>19972.2454135061</v>
      </c>
      <c r="E20" s="20" t="n">
        <f aca="false">D20/C20-1</f>
        <v>0.091800930835632</v>
      </c>
      <c r="F20" s="20" t="n">
        <f aca="false">D20/$D$19</f>
        <v>0.263392085298722</v>
      </c>
      <c r="G20" s="21" t="n">
        <f aca="false">SUMIF($B$13:$B$18,"Resource",G$13:G$18)</f>
        <v>2.32681429246508</v>
      </c>
    </row>
    <row r="21" customFormat="false" ht="15" hidden="false" customHeight="false" outlineLevel="0" collapsed="false">
      <c r="A21" s="27" t="s">
        <v>78</v>
      </c>
      <c r="B21" s="28"/>
      <c r="C21" s="29" t="n">
        <f aca="false">SUMIF($B$13:$B$18,"Non-resource",C$13:C$18)</f>
        <v>53879.0723978943</v>
      </c>
      <c r="D21" s="29" t="n">
        <f aca="false">SUMIF($B$13:$B$18,"Non-resource",D$13:D$18)</f>
        <v>55854.8068339254</v>
      </c>
      <c r="E21" s="20" t="n">
        <f aca="false">D21/C21-1</f>
        <v>0.0366697930773654</v>
      </c>
      <c r="F21" s="20" t="n">
        <f aca="false">D21/$D$19</f>
        <v>0.736607914701278</v>
      </c>
      <c r="G21" s="21" t="n">
        <f aca="false">SUMIF($B$13:$B$18,"Non-resource",G$13:G$18)</f>
        <v>2.73753558796727</v>
      </c>
    </row>
    <row r="23" customFormat="false" ht="31.5" hidden="false" customHeight="true" outlineLevel="0" collapsed="false">
      <c r="A23" s="16" t="s">
        <v>79</v>
      </c>
      <c r="B23" s="16"/>
      <c r="C23" s="16" t="s">
        <v>80</v>
      </c>
      <c r="D23" s="16" t="s">
        <v>81</v>
      </c>
      <c r="E23" s="16" t="s">
        <v>82</v>
      </c>
      <c r="F23" s="16"/>
      <c r="G23" s="16"/>
    </row>
    <row r="24" customFormat="false" ht="15" hidden="false" customHeight="false" outlineLevel="0" collapsed="false">
      <c r="A24" s="17" t="s">
        <v>83</v>
      </c>
      <c r="B24" s="28"/>
      <c r="C24" s="30" t="n">
        <v>164.440206386986</v>
      </c>
      <c r="D24" s="31" t="n">
        <v>175.73601095116</v>
      </c>
      <c r="E24" s="20" t="n">
        <f aca="false">D24/C24-1</f>
        <v>0.0686924737712351</v>
      </c>
    </row>
    <row r="25" customFormat="false" ht="15" hidden="false" customHeight="false" outlineLevel="0" collapsed="false">
      <c r="A25" s="17" t="s">
        <v>84</v>
      </c>
      <c r="B25" s="28"/>
      <c r="C25" s="29" t="n">
        <f aca="false">C19*C24/100</f>
        <v>118679.800859898</v>
      </c>
      <c r="D25" s="29" t="n">
        <f aca="false">D19*D24/100</f>
        <v>133255.436841488</v>
      </c>
      <c r="E25" s="20" t="n">
        <f aca="false">D25/C25-1</f>
        <v>0.122814799788858</v>
      </c>
    </row>
    <row r="26" customFormat="false" ht="15" hidden="false" customHeight="false" outlineLevel="0" collapsed="false">
      <c r="A26" s="17" t="s">
        <v>85</v>
      </c>
      <c r="B26" s="28"/>
      <c r="C26" s="32" t="n">
        <v>10185363</v>
      </c>
      <c r="D26" s="33" t="n">
        <f aca="false">C26*(1+Other_Sectors!D3)</f>
        <v>10454730.8735332</v>
      </c>
      <c r="E26" s="20" t="n">
        <f aca="false">D26/C26-1</f>
        <v>0.0264465658743054</v>
      </c>
    </row>
    <row r="27" customFormat="false" ht="15" hidden="false" customHeight="false" outlineLevel="0" collapsed="false">
      <c r="A27" s="17" t="s">
        <v>86</v>
      </c>
      <c r="B27" s="28"/>
      <c r="C27" s="33" t="n">
        <f aca="false">C19*1000000/C26</f>
        <v>7085.85537761295</v>
      </c>
      <c r="D27" s="33" t="n">
        <f aca="false">D19*1000000/D26</f>
        <v>7252.89375352477</v>
      </c>
      <c r="E27" s="20" t="n">
        <f aca="false">D27/C27-1</f>
        <v>0.0235734949431172</v>
      </c>
    </row>
    <row r="29" customFormat="false" ht="15" hidden="false" customHeight="false" outlineLevel="0" collapsed="false">
      <c r="A29" s="34" t="s">
        <v>87</v>
      </c>
      <c r="C29" s="35" t="n">
        <f aca="false">C19</f>
        <v>72172.0091864899</v>
      </c>
      <c r="D29" s="36" t="n">
        <v>72172.3918989403</v>
      </c>
      <c r="E29" s="34" t="str">
        <f aca="false">IF(ABS(C29-D29)&lt;5,"OK - matches","Check inputs")</f>
        <v>OK - matches</v>
      </c>
    </row>
    <row r="32" customFormat="false" ht="31.5" hidden="false" customHeight="true" outlineLevel="0" collapsed="false">
      <c r="A32" s="16" t="s">
        <v>88</v>
      </c>
      <c r="B32" s="16" t="s">
        <v>89</v>
      </c>
      <c r="C32" s="16" t="s">
        <v>90</v>
      </c>
    </row>
    <row r="33" customFormat="false" ht="15" hidden="false" customHeight="false" outlineLevel="0" collapsed="false">
      <c r="A33" s="18" t="s">
        <v>91</v>
      </c>
      <c r="B33" s="37" t="n">
        <f aca="false">Resource!M5</f>
        <v>-0.163784246575342</v>
      </c>
      <c r="C33" s="38" t="n">
        <f aca="false">Resource!L5-Resource!K5</f>
        <v>-172.163724697304</v>
      </c>
    </row>
    <row r="34" customFormat="false" ht="15" hidden="false" customHeight="false" outlineLevel="0" collapsed="false">
      <c r="A34" s="18" t="s">
        <v>92</v>
      </c>
      <c r="B34" s="37" t="n">
        <f aca="false">Resource!M6</f>
        <v>0.0681818181818181</v>
      </c>
      <c r="C34" s="38" t="n">
        <f aca="false">Resource!L6-Resource!K6</f>
        <v>669.711709014966</v>
      </c>
    </row>
    <row r="35" customFormat="false" ht="15" hidden="false" customHeight="false" outlineLevel="0" collapsed="false">
      <c r="A35" s="18" t="s">
        <v>93</v>
      </c>
      <c r="B35" s="37" t="n">
        <f aca="false">Resource!M7</f>
        <v>0.342024539877301</v>
      </c>
      <c r="C35" s="38" t="n">
        <f aca="false">Resource!L7-Resource!K7</f>
        <v>450.183145841047</v>
      </c>
    </row>
    <row r="36" customFormat="false" ht="15" hidden="false" customHeight="false" outlineLevel="0" collapsed="false">
      <c r="A36" s="18" t="s">
        <v>94</v>
      </c>
      <c r="B36" s="37" t="n">
        <f aca="false">Resource!M8</f>
        <v>0.0268497236715248</v>
      </c>
      <c r="C36" s="38" t="n">
        <f aca="false">Resource!L8-Resource!K8</f>
        <v>34.9402815971487</v>
      </c>
    </row>
    <row r="37" customFormat="false" ht="15" hidden="false" customHeight="false" outlineLevel="0" collapsed="false">
      <c r="A37" s="18" t="s">
        <v>95</v>
      </c>
      <c r="B37" s="37" t="n">
        <f aca="false">Resource!M9</f>
        <v>0.14863968501159</v>
      </c>
      <c r="C37" s="38" t="n">
        <f aca="false">Resource!L9-Resource!K9</f>
        <v>558.526185589456</v>
      </c>
    </row>
    <row r="38" customFormat="false" ht="15" hidden="false" customHeight="false" outlineLevel="0" collapsed="false">
      <c r="A38" s="18" t="s">
        <v>96</v>
      </c>
      <c r="B38" s="37" t="n">
        <f aca="false">Resource!M10</f>
        <v>0.0929321198923636</v>
      </c>
      <c r="C38" s="38" t="n">
        <f aca="false">Resource!L10-Resource!K10</f>
        <v>4.15319144275527</v>
      </c>
    </row>
    <row r="39" customFormat="false" ht="15" hidden="false" customHeight="false" outlineLevel="0" collapsed="false">
      <c r="A39" s="18" t="s">
        <v>97</v>
      </c>
      <c r="B39" s="37" t="n">
        <f aca="false">Resource!M11</f>
        <v>0.145704132721338</v>
      </c>
      <c r="C39" s="38" t="n">
        <f aca="false">Resource!L11-Resource!K11</f>
        <v>107.948242697624</v>
      </c>
    </row>
    <row r="40" customFormat="false" ht="15" hidden="false" customHeight="false" outlineLevel="0" collapsed="false">
      <c r="A40" s="18" t="s">
        <v>98</v>
      </c>
      <c r="B40" s="37" t="n">
        <f aca="false">Resource!M12</f>
        <v>0.176238844426498</v>
      </c>
      <c r="C40" s="38" t="n">
        <f aca="false">Resource!L12-Resource!K12</f>
        <v>21.8322907247638</v>
      </c>
    </row>
    <row r="41" customFormat="false" ht="15" hidden="false" customHeight="false" outlineLevel="0" collapsed="false">
      <c r="A41" s="18" t="s">
        <v>99</v>
      </c>
      <c r="B41" s="37" t="n">
        <f aca="false">Resource!M13</f>
        <v>0.0309999999999999</v>
      </c>
      <c r="C41" s="38" t="n">
        <f aca="false">Resource!L13-Resource!K13</f>
        <v>4.17730269999998</v>
      </c>
    </row>
    <row r="43" customFormat="false" ht="15" hidden="false" customHeight="false" outlineLevel="0" collapsed="false">
      <c r="A43" s="39" t="s">
        <v>100</v>
      </c>
      <c r="B43" s="40"/>
      <c r="C43" s="40"/>
      <c r="D43" s="40"/>
      <c r="E43" s="40"/>
      <c r="F43" s="40"/>
      <c r="G43" s="40"/>
    </row>
    <row r="44" customFormat="false" ht="15" hidden="false" customHeight="false" outlineLevel="0" collapsed="false">
      <c r="A44" s="41" t="s">
        <v>101</v>
      </c>
    </row>
    <row r="45" customFormat="false" ht="15" hidden="false" customHeight="false" outlineLevel="0" collapsed="false">
      <c r="A45" s="41" t="s">
        <v>102</v>
      </c>
    </row>
    <row r="46" customFormat="false" ht="15" hidden="false" customHeight="false" outlineLevel="0" collapsed="false">
      <c r="A46" s="41" t="s">
        <v>103</v>
      </c>
    </row>
    <row r="47" customFormat="false" ht="15" hidden="false" customHeight="false" outlineLevel="0" collapsed="false">
      <c r="A47" s="41" t="s">
        <v>104</v>
      </c>
    </row>
    <row r="48" customFormat="false" ht="15" hidden="false" customHeight="false" outlineLevel="0" collapsed="false">
      <c r="A48" s="41" t="s">
        <v>105</v>
      </c>
    </row>
  </sheetData>
  <mergeCells count="16">
    <mergeCell ref="A4:B4"/>
    <mergeCell ref="C4:D4"/>
    <mergeCell ref="E4:F4"/>
    <mergeCell ref="G4:H4"/>
    <mergeCell ref="A5:B6"/>
    <mergeCell ref="C5:D6"/>
    <mergeCell ref="E5:F6"/>
    <mergeCell ref="G5:H6"/>
    <mergeCell ref="A8:B8"/>
    <mergeCell ref="C8:D8"/>
    <mergeCell ref="E8:F8"/>
    <mergeCell ref="G8:H8"/>
    <mergeCell ref="A9:B10"/>
    <mergeCell ref="C9:D10"/>
    <mergeCell ref="E9:F10"/>
    <mergeCell ref="G9: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Q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1"/>
    <col collapsed="false" customWidth="true" hidden="false" outlineLevel="0" max="4" min="4" style="0" width="10"/>
    <col collapsed="false" customWidth="true" hidden="false" outlineLevel="0" max="5" min="5" style="0" width="3"/>
    <col collapsed="false" customWidth="true" hidden="false" outlineLevel="0" max="6" min="6" style="0" width="26"/>
    <col collapsed="false" customWidth="true" hidden="false" outlineLevel="0" max="10" min="7" style="0" width="11"/>
    <col collapsed="false" customWidth="true" hidden="false" outlineLevel="0" max="12" min="11" style="0" width="12"/>
    <col collapsed="false" customWidth="true" hidden="false" outlineLevel="0" max="13" min="13" style="0" width="10"/>
    <col collapsed="false" customWidth="true" hidden="false" outlineLevel="0" max="14" min="14" style="0" width="11"/>
    <col collapsed="false" customWidth="true" hidden="false" outlineLevel="0" max="16" min="15" style="0" width="12"/>
    <col collapsed="false" customWidth="true" hidden="false" outlineLevel="0" max="17" min="17" style="0" width="10"/>
  </cols>
  <sheetData>
    <row r="1" customFormat="false" ht="17.35" hidden="false" customHeight="false" outlineLevel="0" collapsed="false">
      <c r="A1" s="1" t="s">
        <v>106</v>
      </c>
    </row>
    <row r="2" customFormat="false" ht="15" hidden="false" customHeight="false" outlineLevel="0" collapsed="false">
      <c r="A2" s="2" t="s">
        <v>107</v>
      </c>
    </row>
    <row r="4" customFormat="false" ht="31.5" hidden="false" customHeight="true" outlineLevel="0" collapsed="false">
      <c r="A4" s="16" t="s">
        <v>108</v>
      </c>
      <c r="B4" s="16" t="s">
        <v>80</v>
      </c>
      <c r="C4" s="16" t="s">
        <v>81</v>
      </c>
      <c r="D4" s="16" t="s">
        <v>109</v>
      </c>
      <c r="F4" s="16" t="s">
        <v>110</v>
      </c>
      <c r="G4" s="16" t="s">
        <v>111</v>
      </c>
      <c r="H4" s="16" t="s">
        <v>112</v>
      </c>
      <c r="I4" s="16" t="s">
        <v>113</v>
      </c>
      <c r="J4" s="16" t="s">
        <v>114</v>
      </c>
      <c r="K4" s="16" t="s">
        <v>115</v>
      </c>
      <c r="L4" s="16" t="s">
        <v>116</v>
      </c>
      <c r="M4" s="16" t="s">
        <v>66</v>
      </c>
      <c r="N4" s="16" t="s">
        <v>117</v>
      </c>
      <c r="O4" s="16" t="s">
        <v>118</v>
      </c>
      <c r="P4" s="16" t="s">
        <v>119</v>
      </c>
      <c r="Q4" s="16" t="s">
        <v>120</v>
      </c>
    </row>
    <row r="5" customFormat="false" ht="15" hidden="false" customHeight="false" outlineLevel="0" collapsed="false">
      <c r="A5" s="42" t="s">
        <v>121</v>
      </c>
      <c r="B5" s="43"/>
      <c r="C5" s="43"/>
      <c r="D5" s="43"/>
      <c r="F5" s="17" t="s">
        <v>91</v>
      </c>
      <c r="G5" s="18" t="s">
        <v>69</v>
      </c>
      <c r="H5" s="44" t="n">
        <f aca="false">B38</f>
        <v>4.2632</v>
      </c>
      <c r="I5" s="44" t="n">
        <f aca="false">C38</f>
        <v>3.564955</v>
      </c>
      <c r="J5" s="45" t="n">
        <f aca="false">IF(H5=0,1,I5/H5)</f>
        <v>0.836215753424658</v>
      </c>
      <c r="K5" s="46" t="n">
        <v>1051.16168555385</v>
      </c>
      <c r="L5" s="47" t="n">
        <f aca="false">K5*J5</f>
        <v>878.997960856546</v>
      </c>
      <c r="M5" s="20" t="n">
        <f aca="false">J5-1</f>
        <v>-0.163784246575342</v>
      </c>
      <c r="N5" s="48" t="n">
        <v>0.915553139527908</v>
      </c>
      <c r="O5" s="46" t="n">
        <v>1494.87959928441</v>
      </c>
      <c r="P5" s="47" t="n">
        <f aca="false">O5*J5*N5</f>
        <v>1144.47975898126</v>
      </c>
      <c r="Q5" s="20" t="n">
        <f aca="false">IF(O5=0,0,P5/O5-1)</f>
        <v>-0.23440004162936</v>
      </c>
    </row>
    <row r="6" customFormat="false" ht="15" hidden="false" customHeight="false" outlineLevel="0" collapsed="false">
      <c r="A6" s="17" t="s">
        <v>95</v>
      </c>
      <c r="B6" s="28"/>
      <c r="C6" s="28"/>
      <c r="D6" s="28"/>
      <c r="F6" s="17" t="s">
        <v>92</v>
      </c>
      <c r="G6" s="18" t="s">
        <v>69</v>
      </c>
      <c r="H6" s="44" t="n">
        <f aca="false">B44</f>
        <v>440</v>
      </c>
      <c r="I6" s="44" t="n">
        <f aca="false">C44</f>
        <v>470</v>
      </c>
      <c r="J6" s="45" t="n">
        <f aca="false">IF(H6=0,1,I6/H6)</f>
        <v>1.06818181818182</v>
      </c>
      <c r="K6" s="46" t="n">
        <v>9822.43839888619</v>
      </c>
      <c r="L6" s="47" t="n">
        <f aca="false">K6*J6</f>
        <v>10492.1501079012</v>
      </c>
      <c r="M6" s="20" t="n">
        <f aca="false">J6-1</f>
        <v>0.0681818181818181</v>
      </c>
      <c r="N6" s="48" t="n">
        <v>1.00411944775366</v>
      </c>
      <c r="O6" s="46" t="n">
        <v>17111.8426153263</v>
      </c>
      <c r="P6" s="47" t="n">
        <f aca="false">O6*J6*N6</f>
        <v>18353.8567267409</v>
      </c>
      <c r="Q6" s="20" t="n">
        <f aca="false">IF(O6=0,0,P6/O6-1)</f>
        <v>0.0725821373732234</v>
      </c>
    </row>
    <row r="7" customFormat="false" ht="15" hidden="false" customHeight="false" outlineLevel="0" collapsed="false">
      <c r="A7" s="17" t="s">
        <v>122</v>
      </c>
      <c r="B7" s="49" t="n">
        <f aca="false">SUM(B8:B16)</f>
        <v>46.8343494295882</v>
      </c>
      <c r="C7" s="49" t="n">
        <f aca="false">SUM(C8:C16)</f>
        <v>53.7957923765249</v>
      </c>
      <c r="D7" s="50" t="n">
        <f aca="false">IF(B7=0,"n/a",C7/B7-1)</f>
        <v>0.14863968501159</v>
      </c>
      <c r="F7" s="17" t="s">
        <v>93</v>
      </c>
      <c r="G7" s="18" t="s">
        <v>69</v>
      </c>
      <c r="H7" s="44" t="n">
        <f aca="false">B46</f>
        <v>5.216</v>
      </c>
      <c r="I7" s="44" t="n">
        <f aca="false">C46</f>
        <v>7</v>
      </c>
      <c r="J7" s="45" t="n">
        <f aca="false">IF(H7=0,1,I7/H7)</f>
        <v>1.3420245398773</v>
      </c>
      <c r="K7" s="46" t="n">
        <v>1316.23054299714</v>
      </c>
      <c r="L7" s="47" t="n">
        <f aca="false">K7*J7</f>
        <v>1766.41368883819</v>
      </c>
      <c r="M7" s="20" t="n">
        <f aca="false">J7-1</f>
        <v>0.342024539877301</v>
      </c>
      <c r="N7" s="48" t="n">
        <v>0.915553139527908</v>
      </c>
      <c r="O7" s="46" t="n">
        <v>1568.7849456322</v>
      </c>
      <c r="P7" s="47" t="n">
        <f aca="false">O7*J7*N7</f>
        <v>1927.5578749087</v>
      </c>
      <c r="Q7" s="20" t="n">
        <f aca="false">IF(O7=0,0,P7/O7-1)</f>
        <v>0.228694780808159</v>
      </c>
    </row>
    <row r="8" customFormat="false" ht="15" hidden="false" customHeight="false" outlineLevel="0" collapsed="false">
      <c r="A8" s="18" t="s">
        <v>123</v>
      </c>
      <c r="B8" s="51" t="n">
        <v>8.26814556175292</v>
      </c>
      <c r="C8" s="51" t="n">
        <v>9.27972131287762</v>
      </c>
      <c r="D8" s="20" t="n">
        <f aca="false">IF(B8=0,"n/a",C8/B8-1)</f>
        <v>0.122346146855963</v>
      </c>
      <c r="F8" s="17" t="s">
        <v>94</v>
      </c>
      <c r="G8" s="18" t="s">
        <v>71</v>
      </c>
      <c r="H8" s="44" t="n">
        <f aca="false">B18</f>
        <v>227.61792477705</v>
      </c>
      <c r="I8" s="44" t="n">
        <f aca="false">C18</f>
        <v>233.72940316</v>
      </c>
      <c r="J8" s="45" t="n">
        <f aca="false">IF(H8=0,1,I8/H8)</f>
        <v>1.02684972367152</v>
      </c>
      <c r="K8" s="46" t="n">
        <v>1301.3274186581</v>
      </c>
      <c r="L8" s="47" t="n">
        <f aca="false">K8*J8</f>
        <v>1336.26770025524</v>
      </c>
      <c r="M8" s="20" t="n">
        <f aca="false">J8-1</f>
        <v>0.0268497236715248</v>
      </c>
      <c r="N8" s="48" t="n">
        <v>1.16441380298539</v>
      </c>
      <c r="O8" s="46" t="n">
        <v>2226.69431849676</v>
      </c>
      <c r="P8" s="47" t="n">
        <f aca="false">O8*J8*N8</f>
        <v>2662.40939117029</v>
      </c>
      <c r="Q8" s="20" t="n">
        <f aca="false">IF(O8=0,0,P8/O8-1)</f>
        <v>0.19567799183486</v>
      </c>
    </row>
    <row r="9" customFormat="false" ht="15" hidden="false" customHeight="false" outlineLevel="0" collapsed="false">
      <c r="A9" s="18" t="s">
        <v>124</v>
      </c>
      <c r="B9" s="51" t="n">
        <v>5.84918482473361</v>
      </c>
      <c r="C9" s="51" t="n">
        <v>11.6966822469012</v>
      </c>
      <c r="D9" s="20" t="n">
        <f aca="false">IF(B9=0,"n/a",C9/B9-1)</f>
        <v>0.999711514917618</v>
      </c>
      <c r="F9" s="17" t="s">
        <v>95</v>
      </c>
      <c r="G9" s="18" t="s">
        <v>71</v>
      </c>
      <c r="H9" s="44" t="n">
        <f aca="false">B7</f>
        <v>46.8343494295882</v>
      </c>
      <c r="I9" s="44" t="n">
        <f aca="false">C7</f>
        <v>53.7957923765249</v>
      </c>
      <c r="J9" s="45" t="n">
        <f aca="false">IF(H9=0,1,I9/H9)</f>
        <v>1.14863968501159</v>
      </c>
      <c r="K9" s="46" t="n">
        <v>3757.58456125566</v>
      </c>
      <c r="L9" s="47" t="n">
        <f aca="false">K9*J9</f>
        <v>4316.11074684512</v>
      </c>
      <c r="M9" s="20" t="n">
        <f aca="false">J9-1</f>
        <v>0.14863968501159</v>
      </c>
      <c r="N9" s="48" t="n">
        <v>1.54250822185784</v>
      </c>
      <c r="O9" s="46" t="n">
        <v>8723.16835850904</v>
      </c>
      <c r="P9" s="47" t="n">
        <f aca="false">O9*J9*N9</f>
        <v>15455.5889522303</v>
      </c>
      <c r="Q9" s="20" t="n">
        <f aca="false">IF(O9=0,0,P9/O9-1)</f>
        <v>0.771786158082582</v>
      </c>
    </row>
    <row r="10" customFormat="false" ht="15" hidden="false" customHeight="false" outlineLevel="0" collapsed="false">
      <c r="A10" s="18" t="s">
        <v>125</v>
      </c>
      <c r="B10" s="51" t="n">
        <v>0</v>
      </c>
      <c r="C10" s="51" t="n">
        <v>0</v>
      </c>
      <c r="D10" s="20" t="str">
        <f aca="false">IF(B10=0,"n/a",C10/B10-1)</f>
        <v>n/a</v>
      </c>
      <c r="F10" s="17" t="s">
        <v>96</v>
      </c>
      <c r="G10" s="18" t="s">
        <v>71</v>
      </c>
      <c r="H10" s="44" t="n">
        <f aca="false">B21</f>
        <v>44.0797290284956</v>
      </c>
      <c r="I10" s="44" t="n">
        <f aca="false">C21</f>
        <v>48.1761516913946</v>
      </c>
      <c r="J10" s="45" t="n">
        <f aca="false">IF(H10=0,1,I10/H10)</f>
        <v>1.09293211989236</v>
      </c>
      <c r="K10" s="46" t="n">
        <v>44.6905918811021</v>
      </c>
      <c r="L10" s="47" t="n">
        <f aca="false">K10*J10</f>
        <v>48.8437833238574</v>
      </c>
      <c r="M10" s="20" t="n">
        <f aca="false">J10-1</f>
        <v>0.0929321198923636</v>
      </c>
      <c r="N10" s="48" t="n">
        <v>1.50632509288022</v>
      </c>
      <c r="O10" s="46" t="n">
        <v>72.6944082882003</v>
      </c>
      <c r="P10" s="47" t="n">
        <f aca="false">O10*J10*N10</f>
        <v>119.677609601453</v>
      </c>
      <c r="Q10" s="20" t="n">
        <f aca="false">IF(O10=0,0,P10/O10-1)</f>
        <v>0.646311077008643</v>
      </c>
    </row>
    <row r="11" customFormat="false" ht="15" hidden="false" customHeight="false" outlineLevel="0" collapsed="false">
      <c r="A11" s="18" t="s">
        <v>126</v>
      </c>
      <c r="B11" s="51" t="n">
        <v>19.0975327169662</v>
      </c>
      <c r="C11" s="51" t="n">
        <v>18.2025948072751</v>
      </c>
      <c r="D11" s="20" t="n">
        <f aca="false">IF(B11=0,"n/a",C11/B11-1)</f>
        <v>-0.0468614413680785</v>
      </c>
      <c r="F11" s="17" t="s">
        <v>97</v>
      </c>
      <c r="G11" s="18" t="s">
        <v>71</v>
      </c>
      <c r="H11" s="44" t="n">
        <f aca="false">B31</f>
        <v>28669.09</v>
      </c>
      <c r="I11" s="44" t="n">
        <f aca="false">C31</f>
        <v>32846.29489436</v>
      </c>
      <c r="J11" s="45" t="n">
        <f aca="false">IF(H11=0,1,I11/H11)</f>
        <v>1.14570413272134</v>
      </c>
      <c r="K11" s="46" t="n">
        <v>740.872895514064</v>
      </c>
      <c r="L11" s="47" t="n">
        <f aca="false">K11*J11</f>
        <v>848.821138211688</v>
      </c>
      <c r="M11" s="20" t="n">
        <f aca="false">J11-1</f>
        <v>0.145704132721338</v>
      </c>
      <c r="N11" s="48" t="n">
        <v>0.965002582167135</v>
      </c>
      <c r="O11" s="46" t="n">
        <v>1137.25388384519</v>
      </c>
      <c r="P11" s="47" t="n">
        <f aca="false">O11*J11*N11</f>
        <v>1257.35636251259</v>
      </c>
      <c r="Q11" s="20" t="n">
        <f aca="false">IF(O11=0,0,P11/O11-1)</f>
        <v>0.10560744647565</v>
      </c>
    </row>
    <row r="12" customFormat="false" ht="15" hidden="false" customHeight="false" outlineLevel="0" collapsed="false">
      <c r="A12" s="18" t="s">
        <v>127</v>
      </c>
      <c r="B12" s="51" t="n">
        <v>0</v>
      </c>
      <c r="C12" s="51" t="n">
        <v>0</v>
      </c>
      <c r="D12" s="20" t="str">
        <f aca="false">IF(B12=0,"n/a",C12/B12-1)</f>
        <v>n/a</v>
      </c>
      <c r="F12" s="17" t="s">
        <v>98</v>
      </c>
      <c r="G12" s="18" t="s">
        <v>71</v>
      </c>
      <c r="H12" s="44" t="n">
        <f aca="false">B34</f>
        <v>2625.19</v>
      </c>
      <c r="I12" s="44" t="n">
        <f aca="false">C34</f>
        <v>3087.850452</v>
      </c>
      <c r="J12" s="45" t="n">
        <f aca="false">IF(H12=0,1,I12/H12)</f>
        <v>1.1762388444265</v>
      </c>
      <c r="K12" s="46" t="n">
        <v>123.87899384956</v>
      </c>
      <c r="L12" s="47" t="n">
        <f aca="false">K12*J12</f>
        <v>145.711284574324</v>
      </c>
      <c r="M12" s="20" t="n">
        <f aca="false">J12-1</f>
        <v>0.176238844426498</v>
      </c>
      <c r="N12" s="48" t="n">
        <v>1.4193112945681</v>
      </c>
      <c r="O12" s="46" t="n">
        <v>125.469864641528</v>
      </c>
      <c r="P12" s="47" t="n">
        <f aca="false">O12*J12*N12</f>
        <v>209.465549717648</v>
      </c>
      <c r="Q12" s="20" t="n">
        <f aca="false">IF(O12=0,0,P12/O12-1)</f>
        <v>0.669449077004264</v>
      </c>
    </row>
    <row r="13" customFormat="false" ht="15" hidden="false" customHeight="false" outlineLevel="0" collapsed="false">
      <c r="A13" s="18" t="s">
        <v>128</v>
      </c>
      <c r="B13" s="51" t="n">
        <v>4.36428388140246</v>
      </c>
      <c r="C13" s="51" t="n">
        <v>5.11602373195027</v>
      </c>
      <c r="D13" s="20" t="n">
        <f aca="false">IF(B13=0,"n/a",C13/B13-1)</f>
        <v>0.172248155934861</v>
      </c>
      <c r="F13" s="17" t="s">
        <v>99</v>
      </c>
      <c r="G13" s="18" t="s">
        <v>71</v>
      </c>
      <c r="H13" s="18" t="s">
        <v>129</v>
      </c>
      <c r="I13" s="18" t="s">
        <v>129</v>
      </c>
      <c r="J13" s="48" t="n">
        <v>1.031</v>
      </c>
      <c r="K13" s="46" t="n">
        <v>134.7517</v>
      </c>
      <c r="L13" s="47" t="n">
        <f aca="false">K13*J13</f>
        <v>138.9290027</v>
      </c>
      <c r="M13" s="20" t="n">
        <f aca="false">J13-1</f>
        <v>0.0309999999999999</v>
      </c>
      <c r="N13" s="48" t="n">
        <v>1.04414095326753</v>
      </c>
      <c r="O13" s="46" t="n">
        <v>233.954091106721</v>
      </c>
      <c r="P13" s="47" t="n">
        <f aca="false">O13*J13*N13</f>
        <v>251.85376018799</v>
      </c>
      <c r="Q13" s="20" t="n">
        <f aca="false">IF(O13=0,0,P13/O13-1)</f>
        <v>0.0765093228188256</v>
      </c>
    </row>
    <row r="14" customFormat="false" ht="15" hidden="false" customHeight="false" outlineLevel="0" collapsed="false">
      <c r="A14" s="18" t="s">
        <v>130</v>
      </c>
      <c r="B14" s="51" t="n">
        <v>1.6750293539031</v>
      </c>
      <c r="C14" s="51" t="n">
        <v>1.52059718669082</v>
      </c>
      <c r="D14" s="20" t="n">
        <f aca="false">IF(B14=0,"n/a",C14/B14-1)</f>
        <v>-0.0921966930623761</v>
      </c>
      <c r="F14" s="22" t="s">
        <v>69</v>
      </c>
      <c r="G14" s="23"/>
      <c r="H14" s="23"/>
      <c r="I14" s="23"/>
      <c r="J14" s="23"/>
      <c r="K14" s="52" t="n">
        <f aca="false">SUMIF($G$5:$G$13,"Oil &amp; Gas",K$5:K$13)</f>
        <v>12189.8306274372</v>
      </c>
      <c r="L14" s="52" t="n">
        <f aca="false">SUMIF($G$5:$G$13,"Oil &amp; Gas",L$5:L$13)</f>
        <v>13137.5617575959</v>
      </c>
      <c r="M14" s="25" t="n">
        <f aca="false">IF(K14=0,0,L14/K14-1)</f>
        <v>0.077747686503989</v>
      </c>
      <c r="N14" s="23"/>
      <c r="O14" s="52" t="n">
        <f aca="false">SUMIF($G$5:$G$13,"Oil &amp; Gas",O$5:O$13)</f>
        <v>20175.5071602429</v>
      </c>
      <c r="P14" s="52" t="n">
        <f aca="false">SUMIF($G$5:$G$13,"Oil &amp; Gas",P$5:P$13)</f>
        <v>21425.8943606309</v>
      </c>
      <c r="Q14" s="25" t="n">
        <f aca="false">IF(O14=0,0,P14/O14-1)</f>
        <v>0.0619755027943936</v>
      </c>
    </row>
    <row r="15" customFormat="false" ht="15" hidden="false" customHeight="false" outlineLevel="0" collapsed="false">
      <c r="A15" s="18" t="s">
        <v>131</v>
      </c>
      <c r="B15" s="51" t="n">
        <v>4.58017309082992</v>
      </c>
      <c r="C15" s="51" t="n">
        <v>4.98017309082992</v>
      </c>
      <c r="D15" s="20" t="n">
        <f aca="false">IF(B15=0,"n/a",C15/B15-1)</f>
        <v>0.0873329439887005</v>
      </c>
      <c r="F15" s="22" t="s">
        <v>71</v>
      </c>
      <c r="G15" s="23"/>
      <c r="H15" s="23"/>
      <c r="I15" s="23"/>
      <c r="J15" s="23"/>
      <c r="K15" s="52" t="n">
        <f aca="false">SUMIF($G$5:$G$13,"Mining",K$5:K$13)</f>
        <v>6103.10616115848</v>
      </c>
      <c r="L15" s="52" t="n">
        <f aca="false">SUMIF($G$5:$G$13,"Mining",L$5:L$13)</f>
        <v>6834.68365591023</v>
      </c>
      <c r="M15" s="25" t="n">
        <f aca="false">IF(K15=0,0,L15/K15-1)</f>
        <v>0.119869698385335</v>
      </c>
      <c r="N15" s="23"/>
      <c r="O15" s="52" t="n">
        <f aca="false">SUMIF($G$5:$G$13,"Mining",O$5:O$13)</f>
        <v>12519.2349248874</v>
      </c>
      <c r="P15" s="52" t="n">
        <f aca="false">SUMIF($G$5:$G$13,"Mining",P$5:P$13)</f>
        <v>19956.3516254202</v>
      </c>
      <c r="Q15" s="25" t="n">
        <f aca="false">IF(O15=0,0,P15/O15-1)</f>
        <v>0.594055207459069</v>
      </c>
    </row>
    <row r="16" customFormat="false" ht="15" hidden="false" customHeight="false" outlineLevel="0" collapsed="false">
      <c r="A16" s="18" t="s">
        <v>132</v>
      </c>
      <c r="B16" s="51" t="n">
        <v>3</v>
      </c>
      <c r="C16" s="51" t="n">
        <v>3</v>
      </c>
      <c r="D16" s="20" t="n">
        <f aca="false">IF(B16=0,"n/a",C16/B16-1)</f>
        <v>0</v>
      </c>
      <c r="F16" s="22" t="s">
        <v>133</v>
      </c>
      <c r="G16" s="23"/>
      <c r="H16" s="23"/>
      <c r="I16" s="23"/>
      <c r="J16" s="23"/>
      <c r="K16" s="52" t="n">
        <f aca="false">SUM(K5:K13)</f>
        <v>18292.9367885957</v>
      </c>
      <c r="L16" s="52" t="n">
        <f aca="false">SUM(L5:L13)</f>
        <v>19972.2454135061</v>
      </c>
      <c r="M16" s="25" t="n">
        <f aca="false">IF(K16=0,0,L16/K16-1)</f>
        <v>0.0918009308356318</v>
      </c>
      <c r="N16" s="23"/>
      <c r="O16" s="52" t="n">
        <f aca="false">SUM(O5:O13)</f>
        <v>32694.7420851304</v>
      </c>
      <c r="P16" s="52" t="n">
        <f aca="false">SUM(P5:P13)</f>
        <v>41382.2459860511</v>
      </c>
      <c r="Q16" s="25" t="n">
        <f aca="false">IF(O16=0,0,P16/O16-1)</f>
        <v>0.265715627249797</v>
      </c>
    </row>
    <row r="17" customFormat="false" ht="15" hidden="false" customHeight="false" outlineLevel="0" collapsed="false">
      <c r="A17" s="17" t="s">
        <v>94</v>
      </c>
      <c r="B17" s="28"/>
      <c r="C17" s="28"/>
      <c r="D17" s="28"/>
    </row>
    <row r="18" customFormat="false" ht="15" hidden="false" customHeight="false" outlineLevel="0" collapsed="false">
      <c r="A18" s="17" t="s">
        <v>134</v>
      </c>
      <c r="B18" s="49" t="n">
        <f aca="false">SUM(B19:B19)</f>
        <v>227.61792477705</v>
      </c>
      <c r="C18" s="49" t="n">
        <f aca="false">SUM(C19:C19)</f>
        <v>233.72940316</v>
      </c>
      <c r="D18" s="50" t="n">
        <f aca="false">IF(B18=0,"n/a",C18/B18-1)</f>
        <v>0.0268497236715248</v>
      </c>
      <c r="F18" s="34" t="s">
        <v>135</v>
      </c>
    </row>
    <row r="19" customFormat="false" ht="15" hidden="false" customHeight="false" outlineLevel="0" collapsed="false">
      <c r="A19" s="18" t="s">
        <v>123</v>
      </c>
      <c r="B19" s="51" t="n">
        <v>227.61792477705</v>
      </c>
      <c r="C19" s="51" t="n">
        <v>233.72940316</v>
      </c>
      <c r="D19" s="20" t="n">
        <f aca="false">IF(B19=0,"n/a",C19/B19-1)</f>
        <v>0.0268497236715248</v>
      </c>
      <c r="F19" s="41" t="s">
        <v>136</v>
      </c>
    </row>
    <row r="20" customFormat="false" ht="15" hidden="false" customHeight="false" outlineLevel="0" collapsed="false">
      <c r="A20" s="17" t="s">
        <v>96</v>
      </c>
      <c r="B20" s="28"/>
      <c r="C20" s="28"/>
      <c r="D20" s="28"/>
      <c r="F20" s="41" t="s">
        <v>137</v>
      </c>
    </row>
    <row r="21" customFormat="false" ht="15" hidden="false" customHeight="false" outlineLevel="0" collapsed="false">
      <c r="A21" s="17" t="s">
        <v>122</v>
      </c>
      <c r="B21" s="49" t="n">
        <f aca="false">SUM(B22:B29)</f>
        <v>44.0797290284956</v>
      </c>
      <c r="C21" s="49" t="n">
        <f aca="false">SUM(C22:C29)</f>
        <v>48.1761516913946</v>
      </c>
      <c r="D21" s="50" t="n">
        <f aca="false">IF(B21=0,"n/a",C21/B21-1)</f>
        <v>0.0929321198923636</v>
      </c>
      <c r="F21" s="41" t="s">
        <v>138</v>
      </c>
    </row>
    <row r="22" customFormat="false" ht="15" hidden="false" customHeight="false" outlineLevel="0" collapsed="false">
      <c r="A22" s="18" t="s">
        <v>123</v>
      </c>
      <c r="B22" s="51" t="n">
        <v>30.8942733626091</v>
      </c>
      <c r="C22" s="51" t="n">
        <v>31.3630624596947</v>
      </c>
      <c r="D22" s="20" t="n">
        <f aca="false">IF(B22=0,"n/a",C22/B22-1)</f>
        <v>0.01517398035498</v>
      </c>
      <c r="F22" s="41" t="s">
        <v>139</v>
      </c>
    </row>
    <row r="23" customFormat="false" ht="15" hidden="false" customHeight="false" outlineLevel="0" collapsed="false">
      <c r="A23" s="18" t="s">
        <v>124</v>
      </c>
      <c r="B23" s="51" t="n">
        <v>3.78845566588646</v>
      </c>
      <c r="C23" s="51" t="n">
        <v>2.96176390908455</v>
      </c>
      <c r="D23" s="20" t="n">
        <f aca="false">IF(B23=0,"n/a",C23/B23-1)</f>
        <v>-0.218213390814083</v>
      </c>
    </row>
    <row r="24" customFormat="false" ht="15" hidden="false" customHeight="false" outlineLevel="0" collapsed="false">
      <c r="A24" s="18" t="s">
        <v>125</v>
      </c>
      <c r="B24" s="51" t="n">
        <v>0</v>
      </c>
      <c r="C24" s="51" t="n">
        <v>0</v>
      </c>
      <c r="D24" s="20" t="str">
        <f aca="false">IF(B24=0,"n/a",C24/B24-1)</f>
        <v>n/a</v>
      </c>
    </row>
    <row r="25" customFormat="false" ht="15" hidden="false" customHeight="false" outlineLevel="0" collapsed="false">
      <c r="A25" s="18" t="s">
        <v>126</v>
      </c>
      <c r="B25" s="51" t="n">
        <v>2.8</v>
      </c>
      <c r="C25" s="51" t="n">
        <v>2.8</v>
      </c>
      <c r="D25" s="20" t="n">
        <f aca="false">IF(B25=0,"n/a",C25/B25-1)</f>
        <v>0</v>
      </c>
    </row>
    <row r="26" customFormat="false" ht="15" hidden="false" customHeight="false" outlineLevel="0" collapsed="false">
      <c r="A26" s="18" t="s">
        <v>128</v>
      </c>
      <c r="B26" s="51" t="n">
        <v>1.3</v>
      </c>
      <c r="C26" s="51" t="n">
        <v>4.80250055958495</v>
      </c>
      <c r="D26" s="20" t="n">
        <f aca="false">IF(B26=0,"n/a",C26/B26-1)</f>
        <v>2.69423119968073</v>
      </c>
    </row>
    <row r="27" customFormat="false" ht="15" hidden="false" customHeight="false" outlineLevel="0" collapsed="false">
      <c r="A27" s="18" t="s">
        <v>130</v>
      </c>
      <c r="B27" s="51" t="n">
        <v>0</v>
      </c>
      <c r="C27" s="51" t="n">
        <v>0.951824763030411</v>
      </c>
      <c r="D27" s="20" t="str">
        <f aca="false">IF(B27=0,"n/a",C27/B27-1)</f>
        <v>n/a</v>
      </c>
    </row>
    <row r="28" customFormat="false" ht="15" hidden="false" customHeight="false" outlineLevel="0" collapsed="false">
      <c r="A28" s="18" t="s">
        <v>131</v>
      </c>
      <c r="B28" s="51" t="n">
        <v>4.297</v>
      </c>
      <c r="C28" s="51" t="n">
        <v>4.297</v>
      </c>
      <c r="D28" s="20" t="n">
        <f aca="false">IF(B28=0,"n/a",C28/B28-1)</f>
        <v>0</v>
      </c>
    </row>
    <row r="29" customFormat="false" ht="15" hidden="false" customHeight="false" outlineLevel="0" collapsed="false">
      <c r="A29" s="18" t="s">
        <v>132</v>
      </c>
      <c r="B29" s="51" t="n">
        <v>1</v>
      </c>
      <c r="C29" s="51" t="n">
        <v>1</v>
      </c>
      <c r="D29" s="20" t="n">
        <f aca="false">IF(B29=0,"n/a",C29/B29-1)</f>
        <v>0</v>
      </c>
    </row>
    <row r="30" customFormat="false" ht="15" hidden="false" customHeight="false" outlineLevel="0" collapsed="false">
      <c r="A30" s="17" t="s">
        <v>97</v>
      </c>
      <c r="B30" s="28"/>
      <c r="C30" s="28"/>
      <c r="D30" s="28"/>
    </row>
    <row r="31" customFormat="false" ht="15" hidden="false" customHeight="false" outlineLevel="0" collapsed="false">
      <c r="A31" s="17" t="s">
        <v>122</v>
      </c>
      <c r="B31" s="49" t="n">
        <f aca="false">SUM(B32:B32)</f>
        <v>28669.09</v>
      </c>
      <c r="C31" s="49" t="n">
        <f aca="false">SUM(C32:C32)</f>
        <v>32846.29489436</v>
      </c>
      <c r="D31" s="50" t="n">
        <f aca="false">IF(B31=0,"n/a",C31/B31-1)</f>
        <v>0.145704132721338</v>
      </c>
    </row>
    <row r="32" customFormat="false" ht="15" hidden="false" customHeight="false" outlineLevel="0" collapsed="false">
      <c r="A32" s="18" t="s">
        <v>140</v>
      </c>
      <c r="B32" s="51" t="n">
        <v>28669.09</v>
      </c>
      <c r="C32" s="51" t="n">
        <v>32846.29489436</v>
      </c>
      <c r="D32" s="20" t="n">
        <f aca="false">IF(B32=0,"n/a",C32/B32-1)</f>
        <v>0.145704132721338</v>
      </c>
    </row>
    <row r="33" customFormat="false" ht="15" hidden="false" customHeight="false" outlineLevel="0" collapsed="false">
      <c r="A33" s="17" t="s">
        <v>98</v>
      </c>
      <c r="B33" s="28"/>
      <c r="C33" s="28"/>
      <c r="D33" s="28"/>
    </row>
    <row r="34" customFormat="false" ht="15" hidden="false" customHeight="false" outlineLevel="0" collapsed="false">
      <c r="A34" s="17" t="s">
        <v>122</v>
      </c>
      <c r="B34" s="49" t="n">
        <f aca="false">SUM(B35:B35)</f>
        <v>2625.19</v>
      </c>
      <c r="C34" s="49" t="n">
        <f aca="false">SUM(C35:C35)</f>
        <v>3087.850452</v>
      </c>
      <c r="D34" s="50" t="n">
        <f aca="false">IF(B34=0,"n/a",C34/B34-1)</f>
        <v>0.176238844426498</v>
      </c>
    </row>
    <row r="35" customFormat="false" ht="15" hidden="false" customHeight="false" outlineLevel="0" collapsed="false">
      <c r="A35" s="18" t="s">
        <v>140</v>
      </c>
      <c r="B35" s="51" t="n">
        <v>2625.19</v>
      </c>
      <c r="C35" s="51" t="n">
        <v>3087.850452</v>
      </c>
      <c r="D35" s="20" t="n">
        <f aca="false">IF(B35=0,"n/a",C35/B35-1)</f>
        <v>0.176238844426498</v>
      </c>
    </row>
    <row r="36" customFormat="false" ht="15" hidden="false" customHeight="false" outlineLevel="0" collapsed="false">
      <c r="A36" s="42" t="s">
        <v>141</v>
      </c>
      <c r="B36" s="43"/>
      <c r="C36" s="43"/>
      <c r="D36" s="43"/>
    </row>
    <row r="37" customFormat="false" ht="15" hidden="false" customHeight="false" outlineLevel="0" collapsed="false">
      <c r="A37" s="17" t="s">
        <v>142</v>
      </c>
      <c r="B37" s="28"/>
      <c r="C37" s="28"/>
      <c r="D37" s="28"/>
    </row>
    <row r="38" customFormat="false" ht="15" hidden="false" customHeight="false" outlineLevel="0" collapsed="false">
      <c r="A38" s="17" t="s">
        <v>143</v>
      </c>
      <c r="B38" s="49" t="n">
        <f aca="false">SUM(B39:B42)</f>
        <v>4.2632</v>
      </c>
      <c r="C38" s="49" t="n">
        <f aca="false">SUM(C39:C42)</f>
        <v>3.564955</v>
      </c>
      <c r="D38" s="50" t="n">
        <f aca="false">IF(B38=0,"n/a",C38/B38-1)</f>
        <v>-0.163784246575342</v>
      </c>
    </row>
    <row r="39" customFormat="false" ht="15" hidden="false" customHeight="false" outlineLevel="0" collapsed="false">
      <c r="A39" s="18" t="s">
        <v>144</v>
      </c>
      <c r="B39" s="51" t="n">
        <v>1.73448</v>
      </c>
      <c r="C39" s="51" t="n">
        <v>1.40379</v>
      </c>
      <c r="D39" s="20" t="n">
        <f aca="false">IF(B39=0,"n/a",C39/B39-1)</f>
        <v>-0.190656565656566</v>
      </c>
    </row>
    <row r="40" customFormat="false" ht="15" hidden="false" customHeight="false" outlineLevel="0" collapsed="false">
      <c r="A40" s="18" t="s">
        <v>145</v>
      </c>
      <c r="B40" s="51" t="n">
        <v>1.93377</v>
      </c>
      <c r="C40" s="51" t="n">
        <v>1.639215</v>
      </c>
      <c r="D40" s="20" t="n">
        <f aca="false">IF(B40=0,"n/a",C40/B40-1)</f>
        <v>-0.152321630804077</v>
      </c>
    </row>
    <row r="41" customFormat="false" ht="15" hidden="false" customHeight="false" outlineLevel="0" collapsed="false">
      <c r="A41" s="18" t="s">
        <v>146</v>
      </c>
      <c r="B41" s="51" t="n">
        <v>0.59495</v>
      </c>
      <c r="C41" s="51" t="n">
        <v>0.52195</v>
      </c>
      <c r="D41" s="20" t="n">
        <f aca="false">IF(B41=0,"n/a",C41/B41-1)</f>
        <v>-0.122699386503067</v>
      </c>
    </row>
    <row r="42" customFormat="false" ht="15" hidden="false" customHeight="false" outlineLevel="0" collapsed="false">
      <c r="A42" s="18" t="s">
        <v>147</v>
      </c>
      <c r="B42" s="51" t="n">
        <v>0</v>
      </c>
      <c r="C42" s="51" t="n">
        <v>0</v>
      </c>
      <c r="D42" s="20" t="str">
        <f aca="false">IF(B42=0,"n/a",C42/B42-1)</f>
        <v>n/a</v>
      </c>
    </row>
    <row r="43" customFormat="false" ht="15" hidden="false" customHeight="false" outlineLevel="0" collapsed="false">
      <c r="A43" s="17" t="s">
        <v>148</v>
      </c>
      <c r="B43" s="28"/>
      <c r="C43" s="28"/>
      <c r="D43" s="28"/>
    </row>
    <row r="44" customFormat="false" ht="15" hidden="false" customHeight="false" outlineLevel="0" collapsed="false">
      <c r="A44" s="17" t="s">
        <v>149</v>
      </c>
      <c r="B44" s="53" t="n">
        <v>440</v>
      </c>
      <c r="C44" s="53" t="n">
        <v>470</v>
      </c>
      <c r="D44" s="50" t="n">
        <f aca="false">IF(B44=0,"n/a",C44/B44-1)</f>
        <v>0.0681818181818181</v>
      </c>
    </row>
    <row r="45" customFormat="false" ht="15" hidden="false" customHeight="false" outlineLevel="0" collapsed="false">
      <c r="A45" s="17" t="s">
        <v>93</v>
      </c>
      <c r="B45" s="28"/>
      <c r="C45" s="28"/>
      <c r="D45" s="28"/>
    </row>
    <row r="46" customFormat="false" ht="15" hidden="false" customHeight="false" outlineLevel="0" collapsed="false">
      <c r="A46" s="17" t="s">
        <v>150</v>
      </c>
      <c r="B46" s="53" t="n">
        <v>5.216</v>
      </c>
      <c r="C46" s="53" t="n">
        <v>7</v>
      </c>
      <c r="D46" s="50" t="n">
        <f aca="false">IF(B46=0,"n/a",C46/B46-1)</f>
        <v>0.342024539877301</v>
      </c>
    </row>
    <row r="47" customFormat="false" ht="15" hidden="false" customHeight="false" outlineLevel="0" collapsed="false">
      <c r="A47" s="41" t="s">
        <v>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I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18"/>
    <col collapsed="false" customWidth="true" hidden="false" outlineLevel="0" max="4" min="4" style="0" width="14"/>
    <col collapsed="false" customWidth="true" hidden="false" outlineLevel="0" max="5" min="5" style="0" width="12"/>
    <col collapsed="false" customWidth="true" hidden="false" outlineLevel="0" max="6" min="6" style="0" width="11"/>
    <col collapsed="false" customWidth="true" hidden="false" outlineLevel="0" max="8" min="7" style="0" width="13"/>
    <col collapsed="false" customWidth="true" hidden="false" outlineLevel="0" max="9" min="9" style="0" width="11"/>
  </cols>
  <sheetData>
    <row r="1" customFormat="false" ht="17.35" hidden="false" customHeight="false" outlineLevel="0" collapsed="false">
      <c r="A1" s="1" t="s">
        <v>152</v>
      </c>
    </row>
    <row r="2" customFormat="false" ht="15" hidden="false" customHeight="false" outlineLevel="0" collapsed="false">
      <c r="A2" s="2" t="s">
        <v>153</v>
      </c>
    </row>
    <row r="3" customFormat="false" ht="15" hidden="false" customHeight="false" outlineLevel="0" collapsed="false">
      <c r="A3" s="34" t="s">
        <v>154</v>
      </c>
      <c r="E3" s="54" t="n">
        <v>0.026</v>
      </c>
    </row>
    <row r="5" customFormat="false" ht="31.5" hidden="false" customHeight="true" outlineLevel="0" collapsed="false">
      <c r="A5" s="16" t="s">
        <v>155</v>
      </c>
      <c r="B5" s="16" t="s">
        <v>156</v>
      </c>
      <c r="C5" s="16" t="s">
        <v>157</v>
      </c>
      <c r="D5" s="16" t="s">
        <v>158</v>
      </c>
      <c r="E5" s="16" t="s">
        <v>113</v>
      </c>
      <c r="F5" s="16" t="s">
        <v>159</v>
      </c>
      <c r="G5" s="16" t="s">
        <v>115</v>
      </c>
      <c r="H5" s="16" t="s">
        <v>116</v>
      </c>
      <c r="I5" s="16" t="s">
        <v>66</v>
      </c>
    </row>
    <row r="6" customFormat="false" ht="15" hidden="false" customHeight="false" outlineLevel="0" collapsed="false">
      <c r="A6" s="17" t="s">
        <v>160</v>
      </c>
      <c r="B6" s="18" t="s">
        <v>161</v>
      </c>
      <c r="C6" s="18" t="s">
        <v>162</v>
      </c>
      <c r="D6" s="51" t="n">
        <v>41.108</v>
      </c>
      <c r="E6" s="51" t="n">
        <v>60</v>
      </c>
      <c r="F6" s="45" t="n">
        <f aca="false">IF(D6=0,1,E6/D6)</f>
        <v>1.45956991339885</v>
      </c>
      <c r="G6" s="46" t="n">
        <v>388.676808896201</v>
      </c>
      <c r="H6" s="47" t="n">
        <f aca="false">G6*F6</f>
        <v>567.300976300771</v>
      </c>
      <c r="I6" s="20" t="n">
        <f aca="false">F6-1</f>
        <v>0.459569913398852</v>
      </c>
    </row>
    <row r="7" customFormat="false" ht="15" hidden="false" customHeight="false" outlineLevel="0" collapsed="false">
      <c r="A7" s="17" t="s">
        <v>163</v>
      </c>
      <c r="B7" s="18" t="s">
        <v>161</v>
      </c>
      <c r="C7" s="18" t="s">
        <v>162</v>
      </c>
      <c r="D7" s="51" t="n">
        <v>49.60638</v>
      </c>
      <c r="E7" s="51" t="n">
        <v>47.36022</v>
      </c>
      <c r="F7" s="45" t="n">
        <f aca="false">IF(D7=0,1,E7/D7)</f>
        <v>0.954720340407827</v>
      </c>
      <c r="G7" s="46" t="n">
        <v>445.268900505236</v>
      </c>
      <c r="H7" s="47" t="n">
        <f aca="false">G7*F7</f>
        <v>425.107276263378</v>
      </c>
      <c r="I7" s="20" t="n">
        <f aca="false">F7-1</f>
        <v>-0.0452796595921735</v>
      </c>
    </row>
    <row r="8" customFormat="false" ht="15" hidden="false" customHeight="false" outlineLevel="0" collapsed="false">
      <c r="A8" s="17" t="s">
        <v>164</v>
      </c>
      <c r="B8" s="18" t="s">
        <v>161</v>
      </c>
      <c r="C8" s="18" t="s">
        <v>162</v>
      </c>
      <c r="D8" s="51" t="n">
        <v>0.3999968</v>
      </c>
      <c r="E8" s="51" t="n">
        <v>0.4499964</v>
      </c>
      <c r="F8" s="45" t="n">
        <f aca="false">IF(D8=0,1,E8/D8)</f>
        <v>1.125</v>
      </c>
      <c r="G8" s="46" t="n">
        <v>0.543901559361802</v>
      </c>
      <c r="H8" s="47" t="n">
        <f aca="false">G8*F8</f>
        <v>0.611889254282027</v>
      </c>
      <c r="I8" s="20" t="n">
        <f aca="false">F8-1</f>
        <v>0.125</v>
      </c>
    </row>
    <row r="9" customFormat="false" ht="15" hidden="false" customHeight="false" outlineLevel="0" collapsed="false">
      <c r="A9" s="17" t="s">
        <v>165</v>
      </c>
      <c r="B9" s="18" t="s">
        <v>161</v>
      </c>
      <c r="C9" s="18" t="s">
        <v>162</v>
      </c>
      <c r="D9" s="51" t="n">
        <v>23.018296</v>
      </c>
      <c r="E9" s="51" t="n">
        <v>27.334164</v>
      </c>
      <c r="F9" s="45" t="n">
        <f aca="false">IF(D9=0,1,E9/D9)</f>
        <v>1.1874972847686</v>
      </c>
      <c r="G9" s="46" t="n">
        <v>10.6937630090049</v>
      </c>
      <c r="H9" s="47" t="n">
        <f aca="false">G9*F9</f>
        <v>12.6988145371523</v>
      </c>
      <c r="I9" s="20" t="n">
        <f aca="false">F9-1</f>
        <v>0.187497284768603</v>
      </c>
    </row>
    <row r="10" customFormat="false" ht="15" hidden="false" customHeight="false" outlineLevel="0" collapsed="false">
      <c r="A10" s="17" t="s">
        <v>166</v>
      </c>
      <c r="B10" s="18" t="s">
        <v>161</v>
      </c>
      <c r="C10" s="18" t="s">
        <v>162</v>
      </c>
      <c r="D10" s="51" t="n">
        <v>22.841763</v>
      </c>
      <c r="E10" s="51" t="n">
        <v>23.2853843</v>
      </c>
      <c r="F10" s="45" t="n">
        <f aca="false">IF(D10=0,1,E10/D10)</f>
        <v>1.01942149999543</v>
      </c>
      <c r="G10" s="46" t="n">
        <v>41.0994205576258</v>
      </c>
      <c r="H10" s="47" t="n">
        <f aca="false">G10*F10</f>
        <v>41.8976329537977</v>
      </c>
      <c r="I10" s="20" t="n">
        <f aca="false">F10-1</f>
        <v>0.019421499995425</v>
      </c>
    </row>
    <row r="11" customFormat="false" ht="15" hidden="false" customHeight="false" outlineLevel="0" collapsed="false">
      <c r="A11" s="17" t="s">
        <v>167</v>
      </c>
      <c r="B11" s="18" t="s">
        <v>161</v>
      </c>
      <c r="C11" s="18" t="s">
        <v>162</v>
      </c>
      <c r="D11" s="51" t="n">
        <v>617.925683912924</v>
      </c>
      <c r="E11" s="51" t="n">
        <v>671.93206568244</v>
      </c>
      <c r="F11" s="45" t="n">
        <f aca="false">IF(D11=0,1,E11/D11)</f>
        <v>1.08739947727618</v>
      </c>
      <c r="G11" s="46" t="n">
        <v>1023.30332968585</v>
      </c>
      <c r="H11" s="47" t="n">
        <f aca="false">G11*F11</f>
        <v>1112.73950579537</v>
      </c>
      <c r="I11" s="20" t="n">
        <f aca="false">F11-1</f>
        <v>0.0873994772761813</v>
      </c>
    </row>
    <row r="12" customFormat="false" ht="15" hidden="false" customHeight="false" outlineLevel="0" collapsed="false">
      <c r="A12" s="17" t="s">
        <v>168</v>
      </c>
      <c r="B12" s="18" t="s">
        <v>161</v>
      </c>
      <c r="C12" s="18" t="s">
        <v>162</v>
      </c>
      <c r="D12" s="51" t="n">
        <v>2.74423776</v>
      </c>
      <c r="E12" s="51" t="n">
        <v>3.07491841008</v>
      </c>
      <c r="F12" s="45" t="n">
        <f aca="false">IF(D12=0,1,E12/D12)</f>
        <v>1.1205</v>
      </c>
      <c r="G12" s="46" t="n">
        <v>6.09988870544237</v>
      </c>
      <c r="H12" s="47" t="n">
        <f aca="false">G12*F12</f>
        <v>6.83492529444817</v>
      </c>
      <c r="I12" s="20" t="n">
        <f aca="false">F12-1</f>
        <v>0.1205</v>
      </c>
    </row>
    <row r="13" customFormat="false" ht="15" hidden="false" customHeight="false" outlineLevel="0" collapsed="false">
      <c r="A13" s="17" t="s">
        <v>169</v>
      </c>
      <c r="B13" s="18" t="s">
        <v>170</v>
      </c>
      <c r="C13" s="18" t="s">
        <v>162</v>
      </c>
      <c r="D13" s="51" t="n">
        <v>2305.189</v>
      </c>
      <c r="E13" s="51" t="n">
        <v>2055.796</v>
      </c>
      <c r="F13" s="45" t="n">
        <f aca="false">IF(D13=0,1,E13/D13)</f>
        <v>0.89181234163446</v>
      </c>
      <c r="G13" s="46" t="n">
        <v>294.840281369926</v>
      </c>
      <c r="H13" s="47" t="n">
        <f aca="false">G13*F13</f>
        <v>262.942201736677</v>
      </c>
      <c r="I13" s="20" t="n">
        <f aca="false">F13-1</f>
        <v>-0.10818765836554</v>
      </c>
    </row>
    <row r="14" customFormat="false" ht="15" hidden="false" customHeight="false" outlineLevel="0" collapsed="false">
      <c r="A14" s="17" t="s">
        <v>171</v>
      </c>
      <c r="B14" s="18" t="s">
        <v>172</v>
      </c>
      <c r="C14" s="18" t="s">
        <v>162</v>
      </c>
      <c r="D14" s="51" t="n">
        <v>219.92</v>
      </c>
      <c r="E14" s="51" t="n">
        <v>222.239627969672</v>
      </c>
      <c r="F14" s="45" t="n">
        <f aca="false">IF(D14=0,1,E14/D14)</f>
        <v>1.01054759898905</v>
      </c>
      <c r="G14" s="46" t="n">
        <v>536.152337704975</v>
      </c>
      <c r="H14" s="47" t="n">
        <f aca="false">G14*F14</f>
        <v>541.807457560128</v>
      </c>
      <c r="I14" s="20" t="n">
        <f aca="false">F14-1</f>
        <v>0.0105475989890482</v>
      </c>
    </row>
    <row r="15" customFormat="false" ht="15" hidden="false" customHeight="false" outlineLevel="0" collapsed="false">
      <c r="A15" s="17" t="s">
        <v>173</v>
      </c>
      <c r="B15" s="18" t="s">
        <v>161</v>
      </c>
      <c r="C15" s="18" t="s">
        <v>174</v>
      </c>
      <c r="D15" s="28"/>
      <c r="E15" s="28"/>
      <c r="F15" s="48" t="n">
        <v>1.1218538953108</v>
      </c>
      <c r="G15" s="46" t="n">
        <v>1245.29055699948</v>
      </c>
      <c r="H15" s="47" t="n">
        <f aca="false">G15*F15</f>
        <v>1397.03406216362</v>
      </c>
      <c r="I15" s="20" t="n">
        <f aca="false">F15-1</f>
        <v>0.121853895310795</v>
      </c>
    </row>
    <row r="16" customFormat="false" ht="15" hidden="false" customHeight="false" outlineLevel="0" collapsed="false">
      <c r="A16" s="17" t="s">
        <v>175</v>
      </c>
      <c r="B16" s="18" t="s">
        <v>161</v>
      </c>
      <c r="C16" s="18" t="s">
        <v>85</v>
      </c>
      <c r="D16" s="28"/>
      <c r="E16" s="28"/>
      <c r="F16" s="45" t="n">
        <f aca="false">1+$E$3</f>
        <v>1.026</v>
      </c>
      <c r="G16" s="46" t="n">
        <v>540.92308569665</v>
      </c>
      <c r="H16" s="47" t="n">
        <f aca="false">G16*F16</f>
        <v>554.987085924763</v>
      </c>
      <c r="I16" s="20" t="n">
        <f aca="false">F16-1</f>
        <v>0.026</v>
      </c>
    </row>
    <row r="17" customFormat="false" ht="15" hidden="false" customHeight="false" outlineLevel="0" collapsed="false">
      <c r="A17" s="17" t="s">
        <v>176</v>
      </c>
      <c r="B17" s="18" t="s">
        <v>161</v>
      </c>
      <c r="C17" s="18" t="s">
        <v>85</v>
      </c>
      <c r="D17" s="28"/>
      <c r="E17" s="28"/>
      <c r="F17" s="45" t="n">
        <f aca="false">1+$E$3</f>
        <v>1.026</v>
      </c>
      <c r="G17" s="46" t="n">
        <v>5378.17402239002</v>
      </c>
      <c r="H17" s="47" t="n">
        <f aca="false">G17*F17</f>
        <v>5518.00654697216</v>
      </c>
      <c r="I17" s="20" t="n">
        <f aca="false">F17-1</f>
        <v>0.026</v>
      </c>
    </row>
    <row r="18" customFormat="false" ht="15" hidden="false" customHeight="false" outlineLevel="0" collapsed="false">
      <c r="A18" s="17" t="s">
        <v>177</v>
      </c>
      <c r="B18" s="18" t="s">
        <v>161</v>
      </c>
      <c r="C18" s="18" t="s">
        <v>85</v>
      </c>
      <c r="D18" s="28"/>
      <c r="E18" s="28"/>
      <c r="F18" s="45" t="n">
        <f aca="false">1+$E$3</f>
        <v>1.026</v>
      </c>
      <c r="G18" s="46" t="n">
        <v>1019.02571025895</v>
      </c>
      <c r="H18" s="47" t="n">
        <f aca="false">G18*F18</f>
        <v>1045.52037872568</v>
      </c>
      <c r="I18" s="20" t="n">
        <f aca="false">F18-1</f>
        <v>0.026</v>
      </c>
    </row>
    <row r="19" customFormat="false" ht="15" hidden="false" customHeight="false" outlineLevel="0" collapsed="false">
      <c r="A19" s="17" t="s">
        <v>178</v>
      </c>
      <c r="B19" s="18" t="s">
        <v>170</v>
      </c>
      <c r="C19" s="18" t="s">
        <v>85</v>
      </c>
      <c r="D19" s="28"/>
      <c r="E19" s="28"/>
      <c r="F19" s="45" t="n">
        <f aca="false">1+$E$3</f>
        <v>1.026</v>
      </c>
      <c r="G19" s="46" t="n">
        <v>206.905772096697</v>
      </c>
      <c r="H19" s="47" t="n">
        <f aca="false">G19*F19</f>
        <v>212.285322171211</v>
      </c>
      <c r="I19" s="20" t="n">
        <f aca="false">F19-1</f>
        <v>0.026</v>
      </c>
    </row>
    <row r="20" customFormat="false" ht="15" hidden="false" customHeight="false" outlineLevel="0" collapsed="false">
      <c r="A20" s="17" t="s">
        <v>179</v>
      </c>
      <c r="B20" s="18" t="s">
        <v>172</v>
      </c>
      <c r="C20" s="18" t="s">
        <v>85</v>
      </c>
      <c r="D20" s="28"/>
      <c r="E20" s="28"/>
      <c r="F20" s="45" t="n">
        <f aca="false">1+$E$3</f>
        <v>1.026</v>
      </c>
      <c r="G20" s="46" t="n">
        <v>236.227603271817</v>
      </c>
      <c r="H20" s="47" t="n">
        <f aca="false">G20*F20</f>
        <v>242.369520956884</v>
      </c>
      <c r="I20" s="20" t="n">
        <f aca="false">F20-1</f>
        <v>0.026</v>
      </c>
    </row>
    <row r="21" customFormat="false" ht="15" hidden="false" customHeight="false" outlineLevel="0" collapsed="false">
      <c r="A21" s="22" t="s">
        <v>180</v>
      </c>
      <c r="B21" s="23"/>
      <c r="C21" s="23"/>
      <c r="D21" s="23"/>
      <c r="E21" s="23"/>
      <c r="F21" s="23"/>
      <c r="G21" s="52" t="n">
        <f aca="false">SUMIF($B$6:$B$20,"Crop &amp; animal",G$6:G$20)</f>
        <v>10099.0993882638</v>
      </c>
      <c r="H21" s="52" t="n">
        <f aca="false">SUMIF($B$6:$B$20,"Crop &amp; animal",H$6:H$20)</f>
        <v>10682.7390941854</v>
      </c>
      <c r="I21" s="25" t="n">
        <f aca="false">IF(G21=0,0,H21/G21-1)</f>
        <v>0.057791262713965</v>
      </c>
    </row>
    <row r="22" customFormat="false" ht="15" hidden="false" customHeight="false" outlineLevel="0" collapsed="false">
      <c r="A22" s="22" t="s">
        <v>181</v>
      </c>
      <c r="B22" s="23"/>
      <c r="C22" s="23"/>
      <c r="D22" s="23"/>
      <c r="E22" s="23"/>
      <c r="F22" s="23"/>
      <c r="G22" s="52" t="n">
        <f aca="false">SUMIF($B$6:$B$20,"Forestry",G$6:G$20)</f>
        <v>501.746053466623</v>
      </c>
      <c r="H22" s="52" t="n">
        <f aca="false">SUMIF($B$6:$B$20,"Forestry",H$6:H$20)</f>
        <v>475.227523907888</v>
      </c>
      <c r="I22" s="25" t="n">
        <f aca="false">IF(G22=0,0,H22/G22-1)</f>
        <v>-0.0528524925617557</v>
      </c>
    </row>
    <row r="23" customFormat="false" ht="15" hidden="false" customHeight="false" outlineLevel="0" collapsed="false">
      <c r="A23" s="22" t="s">
        <v>182</v>
      </c>
      <c r="B23" s="23"/>
      <c r="C23" s="23"/>
      <c r="D23" s="23"/>
      <c r="E23" s="23"/>
      <c r="F23" s="23"/>
      <c r="G23" s="52" t="n">
        <f aca="false">SUMIF($B$6:$B$20,"Fishing",G$6:G$20)</f>
        <v>772.379940976792</v>
      </c>
      <c r="H23" s="52" t="n">
        <f aca="false">SUMIF($B$6:$B$20,"Fishing",H$6:H$20)</f>
        <v>784.176978517012</v>
      </c>
      <c r="I23" s="25" t="n">
        <f aca="false">IF(G23=0,0,H23/G23-1)</f>
        <v>0.0152736197748753</v>
      </c>
    </row>
    <row r="24" customFormat="false" ht="15" hidden="false" customHeight="false" outlineLevel="0" collapsed="false">
      <c r="A24" s="22" t="s">
        <v>183</v>
      </c>
      <c r="B24" s="23"/>
      <c r="C24" s="23"/>
      <c r="D24" s="23"/>
      <c r="E24" s="23"/>
      <c r="F24" s="23"/>
      <c r="G24" s="52" t="n">
        <f aca="false">SUM(G6:G20)</f>
        <v>11373.2253827072</v>
      </c>
      <c r="H24" s="52" t="n">
        <f aca="false">SUM(H6:H20)</f>
        <v>11942.1435966103</v>
      </c>
      <c r="I24" s="25" t="n">
        <f aca="false">IF(G24=0,0,H24/G24-1)</f>
        <v>0.0500225920756052</v>
      </c>
    </row>
    <row r="26" customFormat="false" ht="15" hidden="false" customHeight="false" outlineLevel="0" collapsed="false">
      <c r="A26" s="41" t="s">
        <v>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4"/>
    <col collapsed="false" customWidth="true" hidden="false" outlineLevel="0" max="4" min="4" style="0" width="10"/>
    <col collapsed="false" customWidth="true" hidden="false" outlineLevel="0" max="5" min="5" style="0" width="15"/>
    <col collapsed="false" customWidth="true" hidden="false" outlineLevel="0" max="6" min="6" style="0" width="10"/>
    <col collapsed="false" customWidth="true" hidden="false" outlineLevel="0" max="7" min="7" style="0" width="14"/>
    <col collapsed="false" customWidth="true" hidden="false" outlineLevel="0" max="8" min="8" style="0" width="12"/>
  </cols>
  <sheetData>
    <row r="1" customFormat="false" ht="17.35" hidden="false" customHeight="false" outlineLevel="0" collapsed="false">
      <c r="A1" s="1" t="s">
        <v>185</v>
      </c>
    </row>
    <row r="2" customFormat="false" ht="15" hidden="false" customHeight="false" outlineLevel="0" collapsed="false">
      <c r="A2" s="2" t="s">
        <v>186</v>
      </c>
    </row>
    <row r="4" customFormat="false" ht="15" hidden="false" customHeight="false" outlineLevel="0" collapsed="false">
      <c r="A4" s="17" t="s">
        <v>187</v>
      </c>
      <c r="B4" s="46" t="n">
        <v>7214.8</v>
      </c>
    </row>
    <row r="5" customFormat="false" ht="15" hidden="false" customHeight="false" outlineLevel="0" collapsed="false">
      <c r="A5" s="17" t="s">
        <v>188</v>
      </c>
      <c r="B5" s="46" t="n">
        <v>7859.8</v>
      </c>
    </row>
    <row r="6" customFormat="false" ht="15" hidden="false" customHeight="false" outlineLevel="0" collapsed="false">
      <c r="A6" s="17" t="s">
        <v>189</v>
      </c>
      <c r="B6" s="20" t="n">
        <f aca="false">B5/B4-1</f>
        <v>0.0893995675555801</v>
      </c>
    </row>
    <row r="7" customFormat="false" ht="15" hidden="false" customHeight="false" outlineLevel="0" collapsed="false">
      <c r="A7" s="17" t="s">
        <v>190</v>
      </c>
      <c r="B7" s="55" t="n">
        <v>0.028</v>
      </c>
    </row>
    <row r="8" customFormat="false" ht="15" hidden="false" customHeight="false" outlineLevel="0" collapsed="false">
      <c r="A8" s="17" t="s">
        <v>191</v>
      </c>
      <c r="B8" s="20" t="n">
        <f aca="false">(1+B6)/(1+B7)-1</f>
        <v>0.0597272057933658</v>
      </c>
    </row>
    <row r="10" customFormat="false" ht="31.5" hidden="false" customHeight="true" outlineLevel="0" collapsed="false">
      <c r="A10" s="16" t="s">
        <v>111</v>
      </c>
      <c r="B10" s="16" t="s">
        <v>192</v>
      </c>
      <c r="C10" s="16" t="s">
        <v>64</v>
      </c>
      <c r="D10" s="16" t="s">
        <v>193</v>
      </c>
      <c r="E10" s="16" t="s">
        <v>194</v>
      </c>
      <c r="F10" s="16" t="s">
        <v>195</v>
      </c>
      <c r="G10" s="16" t="s">
        <v>65</v>
      </c>
      <c r="H10" s="16" t="s">
        <v>66</v>
      </c>
    </row>
    <row r="11" customFormat="false" ht="15" hidden="false" customHeight="false" outlineLevel="0" collapsed="false">
      <c r="A11" s="17" t="s">
        <v>196</v>
      </c>
      <c r="B11" s="46" t="n">
        <v>6049.17288882314</v>
      </c>
      <c r="C11" s="46" t="n">
        <v>4261.44916660564</v>
      </c>
      <c r="D11" s="56" t="n">
        <f aca="false">B11/C11*100</f>
        <v>141.951074677291</v>
      </c>
      <c r="E11" s="47" t="n">
        <f aca="false">B11*(1+$B$6)</f>
        <v>6589.96632915287</v>
      </c>
      <c r="F11" s="56" t="n">
        <f aca="false">D11*(1+$B$7)</f>
        <v>145.925704768255</v>
      </c>
      <c r="G11" s="47" t="n">
        <f aca="false">E11/F11*100</f>
        <v>4515.97361795746</v>
      </c>
      <c r="H11" s="20" t="n">
        <f aca="false">G11/C11-1</f>
        <v>0.0597272057933658</v>
      </c>
    </row>
    <row r="12" customFormat="false" ht="15" hidden="false" customHeight="false" outlineLevel="0" collapsed="false">
      <c r="A12" s="17" t="s">
        <v>197</v>
      </c>
      <c r="B12" s="46" t="n">
        <v>3263.00704538435</v>
      </c>
      <c r="C12" s="46" t="n">
        <v>2321.33740457024</v>
      </c>
      <c r="D12" s="56" t="n">
        <f aca="false">B12/C12*100</f>
        <v>140.565823777283</v>
      </c>
      <c r="E12" s="47" t="n">
        <f aca="false">B12*(1+$B$6)</f>
        <v>3554.71846417253</v>
      </c>
      <c r="F12" s="56" t="n">
        <f aca="false">D12*(1+$B$7)</f>
        <v>144.501666843047</v>
      </c>
      <c r="G12" s="47" t="n">
        <f aca="false">E12/F12*100</f>
        <v>2459.98440144885</v>
      </c>
      <c r="H12" s="20" t="n">
        <f aca="false">G12/C12-1</f>
        <v>0.059727205793366</v>
      </c>
    </row>
    <row r="13" customFormat="false" ht="15" hidden="false" customHeight="false" outlineLevel="0" collapsed="false">
      <c r="A13" s="17" t="s">
        <v>198</v>
      </c>
      <c r="B13" s="46" t="n">
        <v>2282.08979915484</v>
      </c>
      <c r="C13" s="46" t="n">
        <v>1572.02216050279</v>
      </c>
      <c r="D13" s="56" t="n">
        <f aca="false">B13/C13*100</f>
        <v>145.169060366486</v>
      </c>
      <c r="E13" s="47" t="n">
        <f aca="false">B13*(1+$B$6)</f>
        <v>2486.10764032229</v>
      </c>
      <c r="F13" s="56" t="n">
        <f aca="false">D13*(1+$B$7)</f>
        <v>149.233794056748</v>
      </c>
      <c r="G13" s="47" t="n">
        <f aca="false">E13/F13*100</f>
        <v>1665.91465159487</v>
      </c>
      <c r="H13" s="20" t="n">
        <f aca="false">G13/C13-1</f>
        <v>0.059727205793366</v>
      </c>
    </row>
    <row r="14" customFormat="false" ht="15" hidden="false" customHeight="false" outlineLevel="0" collapsed="false">
      <c r="A14" s="22" t="s">
        <v>199</v>
      </c>
      <c r="B14" s="52" t="n">
        <f aca="false">SUM(B11:B13)</f>
        <v>11594.2697333623</v>
      </c>
      <c r="C14" s="52" t="n">
        <f aca="false">SUM(C11:C13)</f>
        <v>8154.80873167867</v>
      </c>
      <c r="D14" s="57" t="n">
        <f aca="false">B14/C14*100</f>
        <v>142.177089798839</v>
      </c>
      <c r="E14" s="52" t="n">
        <f aca="false">SUM(E11:E13)</f>
        <v>12630.7924336477</v>
      </c>
      <c r="F14" s="57" t="n">
        <f aca="false">E14/G14*100</f>
        <v>146.158048313206</v>
      </c>
      <c r="G14" s="52" t="n">
        <f aca="false">SUM(G11:G13)</f>
        <v>8641.87267100118</v>
      </c>
      <c r="H14" s="25" t="n">
        <f aca="false">G14/C14-1</f>
        <v>0.059727205793366</v>
      </c>
    </row>
    <row r="16" customFormat="false" ht="15" hidden="false" customHeight="false" outlineLevel="0" collapsed="false">
      <c r="A16" s="41" t="s">
        <v>200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4"/>
    <col collapsed="false" customWidth="true" hidden="false" outlineLevel="0" max="4" min="4" style="0" width="11"/>
    <col collapsed="false" customWidth="true" hidden="false" outlineLevel="0" max="5" min="5" style="0" width="14"/>
    <col collapsed="false" customWidth="true" hidden="false" outlineLevel="0" max="6" min="6" style="0" width="90"/>
  </cols>
  <sheetData>
    <row r="1" customFormat="false" ht="17.35" hidden="false" customHeight="false" outlineLevel="0" collapsed="false">
      <c r="A1" s="1" t="s">
        <v>201</v>
      </c>
    </row>
    <row r="2" customFormat="false" ht="15" hidden="false" customHeight="false" outlineLevel="0" collapsed="false">
      <c r="A2" s="2" t="s">
        <v>202</v>
      </c>
    </row>
    <row r="3" customFormat="false" ht="15" hidden="false" customHeight="false" outlineLevel="0" collapsed="false">
      <c r="A3" s="34" t="s">
        <v>203</v>
      </c>
      <c r="D3" s="54" t="n">
        <v>0.0264465658743054</v>
      </c>
    </row>
    <row r="5" customFormat="false" ht="31.5" hidden="false" customHeight="true" outlineLevel="0" collapsed="false">
      <c r="A5" s="16" t="s">
        <v>62</v>
      </c>
      <c r="B5" s="16" t="s">
        <v>115</v>
      </c>
      <c r="C5" s="16" t="s">
        <v>204</v>
      </c>
      <c r="D5" s="16" t="s">
        <v>205</v>
      </c>
      <c r="E5" s="16" t="s">
        <v>116</v>
      </c>
      <c r="F5" s="16" t="s">
        <v>206</v>
      </c>
    </row>
    <row r="6" customFormat="false" ht="30" hidden="false" customHeight="true" outlineLevel="0" collapsed="false">
      <c r="A6" s="17" t="s">
        <v>207</v>
      </c>
      <c r="B6" s="46" t="n">
        <v>1171.43570406839</v>
      </c>
      <c r="C6" s="55"/>
      <c r="D6" s="20" t="n">
        <f aca="false">IF(C6="",$D$3,C6)</f>
        <v>0.0264465658743054</v>
      </c>
      <c r="E6" s="47" t="n">
        <f aca="false">B6*(1+D6)</f>
        <v>1202.41615558355</v>
      </c>
      <c r="F6" s="58" t="s">
        <v>208</v>
      </c>
    </row>
    <row r="7" customFormat="false" ht="15" hidden="false" customHeight="false" outlineLevel="0" collapsed="false">
      <c r="A7" s="17" t="s">
        <v>209</v>
      </c>
      <c r="B7" s="46" t="n">
        <v>618.500333198365</v>
      </c>
      <c r="C7" s="55"/>
      <c r="D7" s="20" t="n">
        <f aca="false">IF(C7="",$D$3,C7)</f>
        <v>0.0264465658743054</v>
      </c>
      <c r="E7" s="47" t="n">
        <f aca="false">B7*(1+D7)</f>
        <v>634.857543003576</v>
      </c>
      <c r="F7" s="58" t="s">
        <v>210</v>
      </c>
    </row>
    <row r="8" customFormat="false" ht="30" hidden="false" customHeight="true" outlineLevel="0" collapsed="false">
      <c r="A8" s="17" t="s">
        <v>211</v>
      </c>
      <c r="B8" s="46" t="n">
        <v>139.376013629598</v>
      </c>
      <c r="C8" s="55"/>
      <c r="D8" s="20" t="n">
        <f aca="false">IF(C8="",$D$3,C8)</f>
        <v>0.0264465658743054</v>
      </c>
      <c r="E8" s="47" t="n">
        <f aca="false">B8*(1+D8)</f>
        <v>143.062030555351</v>
      </c>
      <c r="F8" s="58" t="s">
        <v>212</v>
      </c>
    </row>
    <row r="9" customFormat="false" ht="30" hidden="false" customHeight="true" outlineLevel="0" collapsed="false">
      <c r="A9" s="17" t="s">
        <v>213</v>
      </c>
      <c r="B9" s="46" t="n">
        <v>4619.90493116934</v>
      </c>
      <c r="C9" s="55"/>
      <c r="D9" s="20" t="n">
        <f aca="false">IF(C9="",$D$3,C9)</f>
        <v>0.0264465658743054</v>
      </c>
      <c r="E9" s="47" t="n">
        <f aca="false">B9*(1+D9)</f>
        <v>4742.08555126454</v>
      </c>
      <c r="F9" s="58" t="s">
        <v>214</v>
      </c>
    </row>
    <row r="10" customFormat="false" ht="30" hidden="false" customHeight="true" outlineLevel="0" collapsed="false">
      <c r="A10" s="17" t="s">
        <v>215</v>
      </c>
      <c r="B10" s="46" t="n">
        <v>6714.31494122243</v>
      </c>
      <c r="C10" s="55"/>
      <c r="D10" s="20" t="n">
        <f aca="false">IF(C10="",$D$3,C10)</f>
        <v>0.0264465658743054</v>
      </c>
      <c r="E10" s="47" t="n">
        <f aca="false">B10*(1+D10)</f>
        <v>6891.8855136163</v>
      </c>
      <c r="F10" s="58" t="s">
        <v>216</v>
      </c>
    </row>
    <row r="11" customFormat="false" ht="30" hidden="false" customHeight="true" outlineLevel="0" collapsed="false">
      <c r="A11" s="17" t="s">
        <v>217</v>
      </c>
      <c r="B11" s="46" t="n">
        <v>1497.57123107838</v>
      </c>
      <c r="C11" s="55"/>
      <c r="D11" s="20" t="n">
        <f aca="false">IF(C11="",$D$3,C11)</f>
        <v>0.0264465658743054</v>
      </c>
      <c r="E11" s="47" t="n">
        <f aca="false">B11*(1+D11)</f>
        <v>1537.17684729256</v>
      </c>
      <c r="F11" s="58" t="s">
        <v>218</v>
      </c>
    </row>
    <row r="12" customFormat="false" ht="30" hidden="false" customHeight="true" outlineLevel="0" collapsed="false">
      <c r="A12" s="17" t="s">
        <v>219</v>
      </c>
      <c r="B12" s="46" t="n">
        <v>1203.25732589114</v>
      </c>
      <c r="C12" s="55"/>
      <c r="D12" s="20" t="n">
        <f aca="false">IF(C12="",$D$3,C12)</f>
        <v>0.0264465658743054</v>
      </c>
      <c r="E12" s="47" t="n">
        <f aca="false">B12*(1+D12)</f>
        <v>1235.07935002406</v>
      </c>
      <c r="F12" s="58" t="s">
        <v>220</v>
      </c>
    </row>
    <row r="13" customFormat="false" ht="15" hidden="false" customHeight="false" outlineLevel="0" collapsed="false">
      <c r="A13" s="17" t="s">
        <v>221</v>
      </c>
      <c r="B13" s="46" t="n">
        <v>2667.13386092632</v>
      </c>
      <c r="C13" s="55"/>
      <c r="D13" s="20" t="n">
        <f aca="false">IF(C13="",$D$3,C13)</f>
        <v>0.0264465658743054</v>
      </c>
      <c r="E13" s="47" t="n">
        <f aca="false">B13*(1+D13)</f>
        <v>2737.6703922749</v>
      </c>
      <c r="F13" s="58" t="s">
        <v>222</v>
      </c>
    </row>
    <row r="14" customFormat="false" ht="30" hidden="false" customHeight="true" outlineLevel="0" collapsed="false">
      <c r="A14" s="17" t="s">
        <v>223</v>
      </c>
      <c r="B14" s="46" t="n">
        <v>1266.36827648132</v>
      </c>
      <c r="C14" s="55"/>
      <c r="D14" s="20" t="n">
        <f aca="false">IF(C14="",$D$3,C14)</f>
        <v>0.0264465658743054</v>
      </c>
      <c r="E14" s="47" t="n">
        <f aca="false">B14*(1+D14)</f>
        <v>1299.85936852642</v>
      </c>
      <c r="F14" s="58" t="s">
        <v>224</v>
      </c>
    </row>
    <row r="15" customFormat="false" ht="15" hidden="false" customHeight="false" outlineLevel="0" collapsed="false">
      <c r="A15" s="17" t="s">
        <v>225</v>
      </c>
      <c r="B15" s="46" t="n">
        <v>264.720415193542</v>
      </c>
      <c r="C15" s="55"/>
      <c r="D15" s="20" t="n">
        <f aca="false">IF(C15="",$D$3,C15)</f>
        <v>0.0264465658743054</v>
      </c>
      <c r="E15" s="47" t="n">
        <f aca="false">B15*(1+D15)</f>
        <v>271.721361092231</v>
      </c>
      <c r="F15" s="58"/>
    </row>
    <row r="16" customFormat="false" ht="15" hidden="false" customHeight="false" outlineLevel="0" collapsed="false">
      <c r="A16" s="17" t="s">
        <v>226</v>
      </c>
      <c r="B16" s="46" t="n">
        <v>1480.29303510381</v>
      </c>
      <c r="C16" s="55"/>
      <c r="D16" s="20" t="n">
        <f aca="false">IF(C16="",$D$3,C16)</f>
        <v>0.0264465658743054</v>
      </c>
      <c r="E16" s="47" t="n">
        <f aca="false">B16*(1+D16)</f>
        <v>1519.44170236996</v>
      </c>
      <c r="F16" s="58" t="s">
        <v>227</v>
      </c>
    </row>
    <row r="17" customFormat="false" ht="15" hidden="false" customHeight="false" outlineLevel="0" collapsed="false">
      <c r="A17" s="17" t="s">
        <v>228</v>
      </c>
      <c r="B17" s="46" t="n">
        <v>2661.44430451883</v>
      </c>
      <c r="C17" s="55"/>
      <c r="D17" s="20" t="n">
        <f aca="false">IF(C17="",$D$3,C17)</f>
        <v>0.0264465658743054</v>
      </c>
      <c r="E17" s="47" t="n">
        <f aca="false">B17*(1+D17)</f>
        <v>2731.83036663909</v>
      </c>
      <c r="F17" s="58" t="s">
        <v>227</v>
      </c>
    </row>
    <row r="18" customFormat="false" ht="30" hidden="false" customHeight="true" outlineLevel="0" collapsed="false">
      <c r="A18" s="17" t="s">
        <v>229</v>
      </c>
      <c r="B18" s="46" t="n">
        <v>683.594608365937</v>
      </c>
      <c r="C18" s="55"/>
      <c r="D18" s="20" t="n">
        <f aca="false">IF(C18="",$D$3,C18)</f>
        <v>0.0264465658743054</v>
      </c>
      <c r="E18" s="47" t="n">
        <f aca="false">B18*(1+D18)</f>
        <v>701.673338207407</v>
      </c>
      <c r="F18" s="58" t="s">
        <v>230</v>
      </c>
    </row>
    <row r="19" customFormat="false" ht="30" hidden="false" customHeight="true" outlineLevel="0" collapsed="false">
      <c r="A19" s="17" t="s">
        <v>231</v>
      </c>
      <c r="B19" s="46" t="n">
        <v>5450.61014789205</v>
      </c>
      <c r="C19" s="55"/>
      <c r="D19" s="20" t="n">
        <f aca="false">IF(C19="",$D$3,C19)</f>
        <v>0.0264465658743054</v>
      </c>
      <c r="E19" s="47" t="n">
        <f aca="false">B19*(1+D19)</f>
        <v>5594.76006822344</v>
      </c>
      <c r="F19" s="58" t="s">
        <v>232</v>
      </c>
    </row>
    <row r="20" customFormat="false" ht="15" hidden="false" customHeight="false" outlineLevel="0" collapsed="false">
      <c r="A20" s="17" t="s">
        <v>233</v>
      </c>
      <c r="B20" s="46" t="n">
        <v>23.1861562247972</v>
      </c>
      <c r="C20" s="55"/>
      <c r="D20" s="20" t="n">
        <f aca="false">IF(C20="",$D$3,C20)</f>
        <v>0.0264465658743054</v>
      </c>
      <c r="E20" s="47" t="n">
        <f aca="false">B20*(1+D20)</f>
        <v>23.7993504327683</v>
      </c>
      <c r="F20" s="58"/>
    </row>
    <row r="21" customFormat="false" ht="15" hidden="false" customHeight="false" outlineLevel="0" collapsed="false">
      <c r="A21" s="17" t="s">
        <v>234</v>
      </c>
      <c r="B21" s="46" t="n">
        <v>401.918720834039</v>
      </c>
      <c r="C21" s="55"/>
      <c r="D21" s="20" t="n">
        <f aca="false">IF(C21="",$D$3,C21)</f>
        <v>0.0264465658743054</v>
      </c>
      <c r="E21" s="47" t="n">
        <f aca="false">B21*(1+D21)</f>
        <v>412.548090760693</v>
      </c>
      <c r="F21" s="58"/>
    </row>
    <row r="22" customFormat="false" ht="15" hidden="false" customHeight="false" outlineLevel="0" collapsed="false">
      <c r="A22" s="17" t="s">
        <v>235</v>
      </c>
      <c r="B22" s="46" t="n">
        <v>26.0162858755945</v>
      </c>
      <c r="C22" s="55"/>
      <c r="D22" s="20" t="n">
        <f aca="false">IF(C22="",$D$3,C22)</f>
        <v>0.0264465658743054</v>
      </c>
      <c r="E22" s="47" t="n">
        <f aca="false">B22*(1+D22)</f>
        <v>26.7043272938082</v>
      </c>
      <c r="F22" s="58" t="s">
        <v>236</v>
      </c>
    </row>
    <row r="23" customFormat="false" ht="15" hidden="false" customHeight="false" outlineLevel="0" collapsed="false">
      <c r="A23" s="22" t="s">
        <v>237</v>
      </c>
      <c r="B23" s="52" t="n">
        <f aca="false">SUM(B6:B22)</f>
        <v>30889.6462916739</v>
      </c>
      <c r="C23" s="23"/>
      <c r="D23" s="25" t="n">
        <f aca="false">E23/B23-1</f>
        <v>0.0264465658743054</v>
      </c>
      <c r="E23" s="52" t="n">
        <f aca="false">SUM(E6:E22)</f>
        <v>31706.5713571606</v>
      </c>
      <c r="F23" s="23"/>
    </row>
    <row r="25" customFormat="false" ht="31.5" hidden="false" customHeight="true" outlineLevel="0" collapsed="false">
      <c r="A25" s="16" t="s">
        <v>75</v>
      </c>
      <c r="B25" s="16" t="s">
        <v>238</v>
      </c>
      <c r="C25" s="16"/>
      <c r="D25" s="16" t="s">
        <v>239</v>
      </c>
      <c r="E25" s="16" t="s">
        <v>240</v>
      </c>
      <c r="F25" s="16" t="s">
        <v>241</v>
      </c>
    </row>
    <row r="26" customFormat="false" ht="15" hidden="false" customHeight="false" outlineLevel="0" collapsed="false">
      <c r="A26" s="17" t="s">
        <v>242</v>
      </c>
      <c r="B26" s="46" t="n">
        <v>3461.39199183448</v>
      </c>
      <c r="C26" s="28"/>
      <c r="D26" s="20" t="n">
        <f aca="false">E26/B26-1</f>
        <v>0.029706897560694</v>
      </c>
      <c r="E26" s="59" t="n">
        <v>3564.21920915331</v>
      </c>
      <c r="F26" s="27" t="s">
        <v>243</v>
      </c>
    </row>
    <row r="28" customFormat="false" ht="15" hidden="false" customHeight="false" outlineLevel="0" collapsed="false">
      <c r="A28" s="41" t="s">
        <v>244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R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15" min="2" style="0" width="13"/>
  </cols>
  <sheetData>
    <row r="1" customFormat="false" ht="17.35" hidden="false" customHeight="false" outlineLevel="0" collapsed="false">
      <c r="A1" s="1" t="s">
        <v>245</v>
      </c>
    </row>
    <row r="2" customFormat="false" ht="15" hidden="false" customHeight="false" outlineLevel="0" collapsed="false">
      <c r="A2" s="2" t="s">
        <v>246</v>
      </c>
    </row>
    <row r="4" customFormat="false" ht="31.5" hidden="false" customHeight="true" outlineLevel="0" collapsed="false">
      <c r="A4" s="16" t="s">
        <v>247</v>
      </c>
      <c r="B4" s="16" t="s">
        <v>248</v>
      </c>
      <c r="C4" s="16" t="s">
        <v>249</v>
      </c>
      <c r="D4" s="16" t="s">
        <v>66</v>
      </c>
      <c r="E4" s="16" t="s">
        <v>120</v>
      </c>
      <c r="F4" s="16" t="s">
        <v>250</v>
      </c>
      <c r="G4" s="16" t="s">
        <v>69</v>
      </c>
      <c r="H4" s="16" t="s">
        <v>71</v>
      </c>
      <c r="I4" s="16" t="s">
        <v>251</v>
      </c>
      <c r="J4" s="16" t="s">
        <v>252</v>
      </c>
      <c r="K4" s="16" t="s">
        <v>253</v>
      </c>
      <c r="L4" s="16" t="s">
        <v>254</v>
      </c>
      <c r="M4" s="16" t="s">
        <v>255</v>
      </c>
      <c r="N4" s="16" t="s">
        <v>85</v>
      </c>
      <c r="O4" s="16" t="s">
        <v>256</v>
      </c>
      <c r="Q4" s="34" t="s">
        <v>70</v>
      </c>
      <c r="R4" s="34" t="s">
        <v>72</v>
      </c>
    </row>
    <row r="5" customFormat="false" ht="15" hidden="false" customHeight="false" outlineLevel="0" collapsed="false">
      <c r="A5" s="17" t="s">
        <v>257</v>
      </c>
      <c r="B5" s="30" t="n">
        <v>25.5387490142786</v>
      </c>
      <c r="C5" s="30" t="n">
        <v>34.3554022565136</v>
      </c>
      <c r="D5" s="28"/>
      <c r="E5" s="28"/>
      <c r="F5" s="56" t="n">
        <f aca="false">B5/C5*100</f>
        <v>74.3369232692848</v>
      </c>
      <c r="G5" s="60" t="n">
        <v>2152.17918275589</v>
      </c>
      <c r="H5" s="60" t="n">
        <v>5168.7548769967</v>
      </c>
      <c r="I5" s="60" t="n">
        <v>7536.07046847112</v>
      </c>
      <c r="J5" s="60" t="n">
        <v>2932.67744550078</v>
      </c>
      <c r="K5" s="60" t="n">
        <v>15408.3750225393</v>
      </c>
      <c r="L5" s="60" t="n">
        <v>1157.34526024982</v>
      </c>
      <c r="M5" s="20" t="n">
        <f aca="false">(G5+H5)/SUM(G5:L5)</f>
        <v>0.21309411559472</v>
      </c>
      <c r="N5" s="32" t="n">
        <v>6240325.47366171</v>
      </c>
      <c r="O5" s="33" t="n">
        <f aca="false">C5*1000000000/N5</f>
        <v>5505.38628177585</v>
      </c>
      <c r="Q5" s="35" t="n">
        <f aca="false">G5+H5</f>
        <v>7320.93405975259</v>
      </c>
      <c r="R5" s="35" t="n">
        <f aca="false">SUM(I5:L5)</f>
        <v>27034.468196761</v>
      </c>
    </row>
    <row r="6" customFormat="false" ht="15" hidden="false" customHeight="false" outlineLevel="0" collapsed="false">
      <c r="A6" s="17" t="s">
        <v>258</v>
      </c>
      <c r="B6" s="30" t="n">
        <v>28.3043133725456</v>
      </c>
      <c r="C6" s="30" t="n">
        <v>37.0403419943689</v>
      </c>
      <c r="D6" s="20" t="n">
        <f aca="false">C6/C5-1</f>
        <v>0.0781518934870362</v>
      </c>
      <c r="E6" s="20" t="n">
        <f aca="false">B6/B5-1</f>
        <v>0.108288951691438</v>
      </c>
      <c r="F6" s="56" t="n">
        <f aca="false">B6/C6*100</f>
        <v>76.4148273167905</v>
      </c>
      <c r="G6" s="60" t="n">
        <v>2238.68871291796</v>
      </c>
      <c r="H6" s="60" t="n">
        <v>5173.19486094791</v>
      </c>
      <c r="I6" s="60" t="n">
        <v>7452.84124021128</v>
      </c>
      <c r="J6" s="60" t="n">
        <v>3617.30337736644</v>
      </c>
      <c r="K6" s="60" t="n">
        <v>17156.6856199881</v>
      </c>
      <c r="L6" s="60" t="n">
        <v>1401.62818293722</v>
      </c>
      <c r="M6" s="20" t="n">
        <f aca="false">(G6+H6)/SUM(G6:L6)</f>
        <v>0.200103000533653</v>
      </c>
      <c r="N6" s="32" t="n">
        <v>6434817.89716662</v>
      </c>
      <c r="O6" s="33" t="n">
        <f aca="false">C6*1000000000/N6</f>
        <v>5756.23779667153</v>
      </c>
      <c r="Q6" s="35" t="n">
        <f aca="false">G6+H6</f>
        <v>7411.88357386588</v>
      </c>
      <c r="R6" s="35" t="n">
        <f aca="false">SUM(I6:L6)</f>
        <v>29628.458420503</v>
      </c>
    </row>
    <row r="7" customFormat="false" ht="15" hidden="false" customHeight="false" outlineLevel="0" collapsed="false">
      <c r="A7" s="17" t="s">
        <v>259</v>
      </c>
      <c r="B7" s="30" t="n">
        <v>31.512437579269</v>
      </c>
      <c r="C7" s="30" t="n">
        <v>36.9305330498389</v>
      </c>
      <c r="D7" s="20" t="n">
        <f aca="false">C7/C6-1</f>
        <v>-0.00296457696170072</v>
      </c>
      <c r="E7" s="20" t="n">
        <f aca="false">B7/B6-1</f>
        <v>0.113344003950831</v>
      </c>
      <c r="F7" s="56" t="n">
        <f aca="false">B7/C7*100</f>
        <v>85.3289540574516</v>
      </c>
      <c r="G7" s="60" t="n">
        <v>1970.16597791906</v>
      </c>
      <c r="H7" s="60" t="n">
        <v>4989.12959555758</v>
      </c>
      <c r="I7" s="60" t="n">
        <v>7552.79947003686</v>
      </c>
      <c r="J7" s="60" t="n">
        <v>3285.43086102358</v>
      </c>
      <c r="K7" s="60" t="n">
        <v>17822.4069809728</v>
      </c>
      <c r="L7" s="60" t="n">
        <v>1310.60016432899</v>
      </c>
      <c r="M7" s="20" t="n">
        <f aca="false">(G7+H7)/SUM(G7:L7)</f>
        <v>0.188442868238183</v>
      </c>
      <c r="N7" s="32" t="n">
        <v>6635372.07225171</v>
      </c>
      <c r="O7" s="33" t="n">
        <f aca="false">C7*1000000000/N7</f>
        <v>5565.70643630938</v>
      </c>
      <c r="Q7" s="35" t="n">
        <f aca="false">G7+H7</f>
        <v>6959.29557347664</v>
      </c>
      <c r="R7" s="35" t="n">
        <f aca="false">SUM(I7:L7)</f>
        <v>29971.2374763622</v>
      </c>
    </row>
    <row r="8" customFormat="false" ht="15" hidden="false" customHeight="false" outlineLevel="0" collapsed="false">
      <c r="A8" s="17" t="s">
        <v>260</v>
      </c>
      <c r="B8" s="30" t="n">
        <v>32.0132641468081</v>
      </c>
      <c r="C8" s="30" t="n">
        <v>39.4419648784009</v>
      </c>
      <c r="D8" s="20" t="n">
        <f aca="false">C8/C7-1</f>
        <v>0.0680042128060494</v>
      </c>
      <c r="E8" s="20" t="n">
        <f aca="false">B8/B7-1</f>
        <v>0.0158929808676109</v>
      </c>
      <c r="F8" s="56" t="n">
        <f aca="false">B8/C8*100</f>
        <v>81.1654902221646</v>
      </c>
      <c r="G8" s="60" t="n">
        <v>1635.637507403</v>
      </c>
      <c r="H8" s="60" t="n">
        <v>6531.40976874435</v>
      </c>
      <c r="I8" s="60" t="n">
        <v>7991.73499290443</v>
      </c>
      <c r="J8" s="60" t="n">
        <v>3546.04070584572</v>
      </c>
      <c r="K8" s="60" t="n">
        <v>18424.2921819334</v>
      </c>
      <c r="L8" s="60" t="n">
        <v>1312.84972157007</v>
      </c>
      <c r="M8" s="20" t="n">
        <f aca="false">(G8+H8)/SUM(G8:L8)</f>
        <v>0.20706491933975</v>
      </c>
      <c r="N8" s="32" t="n">
        <v>6842176.92572224</v>
      </c>
      <c r="O8" s="33" t="n">
        <f aca="false">C8*1000000000/N8</f>
        <v>5764.53449049588</v>
      </c>
      <c r="Q8" s="35" t="n">
        <f aca="false">G8+H8</f>
        <v>8167.04727614735</v>
      </c>
      <c r="R8" s="35" t="n">
        <f aca="false">SUM(I8:L8)</f>
        <v>31274.9176022536</v>
      </c>
    </row>
    <row r="9" customFormat="false" ht="15" hidden="false" customHeight="false" outlineLevel="0" collapsed="false">
      <c r="A9" s="17" t="s">
        <v>261</v>
      </c>
      <c r="B9" s="30" t="n">
        <v>38.7520786738458</v>
      </c>
      <c r="C9" s="30" t="n">
        <v>43.4368261883615</v>
      </c>
      <c r="D9" s="20" t="n">
        <f aca="false">C9/C8-1</f>
        <v>0.101284541028233</v>
      </c>
      <c r="E9" s="20" t="n">
        <f aca="false">B9/B8-1</f>
        <v>0.210500700463861</v>
      </c>
      <c r="F9" s="56" t="n">
        <f aca="false">B9/C9*100</f>
        <v>89.2148024485018</v>
      </c>
      <c r="G9" s="60" t="n">
        <v>1714.94358764585</v>
      </c>
      <c r="H9" s="60" t="n">
        <v>6400.55229941777</v>
      </c>
      <c r="I9" s="60" t="n">
        <v>8216.64466910514</v>
      </c>
      <c r="J9" s="60" t="n">
        <v>3859.50881771463</v>
      </c>
      <c r="K9" s="60" t="n">
        <v>21856.2017984828</v>
      </c>
      <c r="L9" s="60" t="n">
        <v>1388.97501599527</v>
      </c>
      <c r="M9" s="20" t="n">
        <f aca="false">(G9+H9)/SUM(G9:L9)</f>
        <v>0.186834458205377</v>
      </c>
      <c r="N9" s="32" t="n">
        <v>7055427.27267125</v>
      </c>
      <c r="O9" s="33" t="n">
        <f aca="false">C9*1000000000/N9</f>
        <v>6156.51249876975</v>
      </c>
      <c r="Q9" s="35" t="n">
        <f aca="false">G9+H9</f>
        <v>8115.49588706363</v>
      </c>
      <c r="R9" s="35" t="n">
        <f aca="false">SUM(I9:L9)</f>
        <v>35321.3303012978</v>
      </c>
    </row>
    <row r="10" customFormat="false" ht="15" hidden="false" customHeight="false" outlineLevel="0" collapsed="false">
      <c r="A10" s="17" t="s">
        <v>262</v>
      </c>
      <c r="B10" s="30" t="n">
        <v>42.6422227853663</v>
      </c>
      <c r="C10" s="30" t="n">
        <v>43.9179079754485</v>
      </c>
      <c r="D10" s="20" t="n">
        <f aca="false">C10/C9-1</f>
        <v>0.0110754359676484</v>
      </c>
      <c r="E10" s="20" t="n">
        <f aca="false">B10/B9-1</f>
        <v>0.100385430785833</v>
      </c>
      <c r="F10" s="56" t="n">
        <f aca="false">B10/C10*100</f>
        <v>97.0952960901612</v>
      </c>
      <c r="G10" s="60" t="n">
        <v>1488.97482267889</v>
      </c>
      <c r="H10" s="60" t="n">
        <v>5398.70344778617</v>
      </c>
      <c r="I10" s="60" t="n">
        <v>8286.58869229864</v>
      </c>
      <c r="J10" s="60" t="n">
        <v>4142.13000133396</v>
      </c>
      <c r="K10" s="60" t="n">
        <v>23483.5613587106</v>
      </c>
      <c r="L10" s="60" t="n">
        <v>1117.94965264027</v>
      </c>
      <c r="M10" s="20" t="n">
        <f aca="false">(G10+H10)/SUM(G10:L10)</f>
        <v>0.15683074599809</v>
      </c>
      <c r="N10" s="32" t="n">
        <v>7254442</v>
      </c>
      <c r="O10" s="33" t="n">
        <f aca="false">C10*1000000000/N10</f>
        <v>6053.933297068</v>
      </c>
      <c r="Q10" s="35" t="n">
        <f aca="false">G10+H10</f>
        <v>6887.67827046506</v>
      </c>
      <c r="R10" s="35" t="n">
        <f aca="false">SUM(I10:L10)</f>
        <v>37030.2297049835</v>
      </c>
    </row>
    <row r="11" customFormat="false" ht="15" hidden="false" customHeight="false" outlineLevel="0" collapsed="false">
      <c r="A11" s="17" t="s">
        <v>263</v>
      </c>
      <c r="B11" s="30" t="n">
        <v>44.3716356117254</v>
      </c>
      <c r="C11" s="30" t="n">
        <v>45.9632174911277</v>
      </c>
      <c r="D11" s="20" t="n">
        <f aca="false">C11/C10-1</f>
        <v>0.0465711963516691</v>
      </c>
      <c r="E11" s="20" t="n">
        <f aca="false">B11/B10-1</f>
        <v>0.0405563479902042</v>
      </c>
      <c r="F11" s="56" t="n">
        <f aca="false">B11/C11*100</f>
        <v>96.5372705256992</v>
      </c>
      <c r="G11" s="60" t="n">
        <v>1463.00495635607</v>
      </c>
      <c r="H11" s="60" t="n">
        <v>4703.11347131016</v>
      </c>
      <c r="I11" s="60" t="n">
        <v>8780.81926304519</v>
      </c>
      <c r="J11" s="60" t="n">
        <v>4282.36653107973</v>
      </c>
      <c r="K11" s="60" t="n">
        <v>25085.6925720411</v>
      </c>
      <c r="L11" s="60" t="n">
        <v>1648.2206972955</v>
      </c>
      <c r="M11" s="20" t="n">
        <f aca="false">(G11+H11)/SUM(G11:L11)</f>
        <v>0.134153324424176</v>
      </c>
      <c r="N11" s="32" t="n">
        <v>7446297.07823433</v>
      </c>
      <c r="O11" s="33" t="n">
        <f aca="false">C11*1000000000/N11</f>
        <v>6172.62741577677</v>
      </c>
      <c r="Q11" s="35" t="n">
        <f aca="false">G11+H11</f>
        <v>6166.11842766622</v>
      </c>
      <c r="R11" s="35" t="n">
        <f aca="false">SUM(I11:L11)</f>
        <v>39797.0990634615</v>
      </c>
    </row>
    <row r="12" customFormat="false" ht="15" hidden="false" customHeight="false" outlineLevel="0" collapsed="false">
      <c r="A12" s="17" t="s">
        <v>264</v>
      </c>
      <c r="B12" s="30" t="n">
        <v>47.7213740191176</v>
      </c>
      <c r="C12" s="30" t="n">
        <v>47.7212058623703</v>
      </c>
      <c r="D12" s="20" t="n">
        <f aca="false">C12/C11-1</f>
        <v>0.0382477221395985</v>
      </c>
      <c r="E12" s="20" t="n">
        <f aca="false">B12/B11-1</f>
        <v>0.0754927863535178</v>
      </c>
      <c r="F12" s="56" t="n">
        <f aca="false">B12/C12*100</f>
        <v>100.000352373215</v>
      </c>
      <c r="G12" s="60" t="n">
        <v>1515.08029825271</v>
      </c>
      <c r="H12" s="60" t="n">
        <v>4963.27402167436</v>
      </c>
      <c r="I12" s="60" t="n">
        <v>9191.04888281102</v>
      </c>
      <c r="J12" s="60" t="n">
        <v>4699.69200581624</v>
      </c>
      <c r="K12" s="60" t="n">
        <v>25586.3106538159</v>
      </c>
      <c r="L12" s="60" t="n">
        <v>1765.8</v>
      </c>
      <c r="M12" s="20" t="n">
        <f aca="false">(G12+H12)/SUM(G12:L12)</f>
        <v>0.135754204087191</v>
      </c>
      <c r="N12" s="32" t="n">
        <v>7643226.0644335</v>
      </c>
      <c r="O12" s="33" t="n">
        <f aca="false">C12*1000000000/N12</f>
        <v>6243.59471512077</v>
      </c>
      <c r="Q12" s="35" t="n">
        <f aca="false">G12+H12</f>
        <v>6478.35431992707</v>
      </c>
      <c r="R12" s="35" t="n">
        <f aca="false">SUM(I12:L12)</f>
        <v>41242.8515424432</v>
      </c>
    </row>
    <row r="13" customFormat="false" ht="15" hidden="false" customHeight="false" outlineLevel="0" collapsed="false">
      <c r="A13" s="17" t="s">
        <v>265</v>
      </c>
      <c r="B13" s="30" t="n">
        <v>57.1307741452762</v>
      </c>
      <c r="C13" s="30" t="n">
        <v>54.1845909413055</v>
      </c>
      <c r="D13" s="20" t="n">
        <f aca="false">C13/C12-1</f>
        <v>0.135440522973704</v>
      </c>
      <c r="E13" s="20" t="n">
        <f aca="false">B13/B12-1</f>
        <v>0.197173705065347</v>
      </c>
      <c r="F13" s="56" t="n">
        <f aca="false">B13/C13*100</f>
        <v>105.437308195539</v>
      </c>
      <c r="G13" s="60" t="n">
        <v>6054.8631905196</v>
      </c>
      <c r="H13" s="60" t="n">
        <v>5208.81110794613</v>
      </c>
      <c r="I13" s="60" t="n">
        <v>9502.88509459696</v>
      </c>
      <c r="J13" s="60" t="n">
        <v>5076.68928506102</v>
      </c>
      <c r="K13" s="60" t="n">
        <v>25600.156940399</v>
      </c>
      <c r="L13" s="60" t="n">
        <v>2741.18532278278</v>
      </c>
      <c r="M13" s="20" t="n">
        <f aca="false">(G13+H13)/SUM(G13:L13)</f>
        <v>0.207875968108109</v>
      </c>
      <c r="N13" s="32" t="n">
        <v>7845363.14603875</v>
      </c>
      <c r="O13" s="33" t="n">
        <f aca="false">C13*1000000000/N13</f>
        <v>6906.5752512252</v>
      </c>
      <c r="Q13" s="35" t="n">
        <f aca="false">G13+H13</f>
        <v>11263.6742984657</v>
      </c>
      <c r="R13" s="35" t="n">
        <f aca="false">SUM(I13:L13)</f>
        <v>42920.9166428398</v>
      </c>
    </row>
    <row r="14" customFormat="false" ht="15" hidden="false" customHeight="false" outlineLevel="0" collapsed="false">
      <c r="A14" s="17" t="s">
        <v>266</v>
      </c>
      <c r="B14" s="30" t="n">
        <v>60.1391321360537</v>
      </c>
      <c r="C14" s="30" t="n">
        <v>57.7488118539989</v>
      </c>
      <c r="D14" s="20" t="n">
        <f aca="false">C14/C13-1</f>
        <v>0.0657792344793056</v>
      </c>
      <c r="E14" s="20" t="n">
        <f aca="false">B14/B13-1</f>
        <v>0.0526573993751196</v>
      </c>
      <c r="F14" s="56" t="n">
        <f aca="false">B14/C14*100</f>
        <v>104.13916789855</v>
      </c>
      <c r="G14" s="60" t="n">
        <v>11248.5660434892</v>
      </c>
      <c r="H14" s="60" t="n">
        <v>5337.48339148958</v>
      </c>
      <c r="I14" s="60" t="n">
        <v>9251.65643690023</v>
      </c>
      <c r="J14" s="60" t="n">
        <v>5219.0105483156</v>
      </c>
      <c r="K14" s="60" t="n">
        <v>24227.1014760033</v>
      </c>
      <c r="L14" s="60" t="n">
        <v>2464.99395780095</v>
      </c>
      <c r="M14" s="20" t="n">
        <f aca="false">(G14+H14)/SUM(G14:L14)</f>
        <v>0.287210228271221</v>
      </c>
      <c r="N14" s="32" t="n">
        <v>8052846.05928831</v>
      </c>
      <c r="O14" s="33" t="n">
        <f aca="false">C14*1000000000/N14</f>
        <v>7171.23007553215</v>
      </c>
      <c r="Q14" s="35" t="n">
        <f aca="false">G14+H14</f>
        <v>16586.0494349788</v>
      </c>
      <c r="R14" s="35" t="n">
        <f aca="false">SUM(I14:L14)</f>
        <v>41162.7624190201</v>
      </c>
    </row>
    <row r="15" customFormat="false" ht="15" hidden="false" customHeight="false" outlineLevel="0" collapsed="false">
      <c r="A15" s="17" t="s">
        <v>267</v>
      </c>
      <c r="B15" s="30" t="n">
        <v>65.0382769168128</v>
      </c>
      <c r="C15" s="30" t="n">
        <v>60.9193114572867</v>
      </c>
      <c r="D15" s="20" t="n">
        <f aca="false">C15/C14-1</f>
        <v>0.0549015555731855</v>
      </c>
      <c r="E15" s="20" t="n">
        <f aca="false">B15/B14-1</f>
        <v>0.0814635098104775</v>
      </c>
      <c r="F15" s="56" t="n">
        <f aca="false">B15/C15*100</f>
        <v>106.76134605102</v>
      </c>
      <c r="G15" s="60" t="n">
        <v>12859.9439393347</v>
      </c>
      <c r="H15" s="60" t="n">
        <v>6263.96958891448</v>
      </c>
      <c r="I15" s="60" t="n">
        <v>9496.9211956972</v>
      </c>
      <c r="J15" s="60" t="n">
        <v>5505.32927647186</v>
      </c>
      <c r="K15" s="60" t="n">
        <v>24621.1463205824</v>
      </c>
      <c r="L15" s="60" t="n">
        <v>2172.0011362861</v>
      </c>
      <c r="M15" s="20" t="n">
        <f aca="false">(G15+H15)/SUM(G15:L15)</f>
        <v>0.313922023587837</v>
      </c>
      <c r="N15" s="32" t="n">
        <v>8265816.18307092</v>
      </c>
      <c r="O15" s="33" t="n">
        <f aca="false">C15*1000000000/N15</f>
        <v>7370.02978387718</v>
      </c>
      <c r="Q15" s="35" t="n">
        <f aca="false">G15+H15</f>
        <v>19123.9135282491</v>
      </c>
      <c r="R15" s="35" t="n">
        <f aca="false">SUM(I15:L15)</f>
        <v>41795.3979290375</v>
      </c>
    </row>
    <row r="16" customFormat="false" ht="15" hidden="false" customHeight="false" outlineLevel="0" collapsed="false">
      <c r="A16" s="17" t="s">
        <v>268</v>
      </c>
      <c r="B16" s="30" t="n">
        <v>72.5216460863127</v>
      </c>
      <c r="C16" s="30" t="n">
        <v>63.0724292905562</v>
      </c>
      <c r="D16" s="20" t="n">
        <f aca="false">C16/C15-1</f>
        <v>0.0353437650847246</v>
      </c>
      <c r="E16" s="20" t="n">
        <f aca="false">B16/B15-1</f>
        <v>0.115060999833553</v>
      </c>
      <c r="F16" s="56" t="n">
        <f aca="false">B16/C16*100</f>
        <v>114.981532980483</v>
      </c>
      <c r="G16" s="60" t="n">
        <v>13389.9116729143</v>
      </c>
      <c r="H16" s="60" t="n">
        <v>7277.41499206875</v>
      </c>
      <c r="I16" s="60" t="n">
        <v>9720.43320586847</v>
      </c>
      <c r="J16" s="60" t="n">
        <v>5625.06887050854</v>
      </c>
      <c r="K16" s="60" t="n">
        <v>24464.3870405107</v>
      </c>
      <c r="L16" s="60" t="n">
        <v>2595.21350868533</v>
      </c>
      <c r="M16" s="20" t="n">
        <f aca="false">(G16+H16)/SUM(G16:L16)</f>
        <v>0.327676084423113</v>
      </c>
      <c r="N16" s="32" t="n">
        <v>8484418.6352614</v>
      </c>
      <c r="O16" s="33" t="n">
        <f aca="false">C16*1000000000/N16</f>
        <v>7433.91291754817</v>
      </c>
      <c r="Q16" s="35" t="n">
        <f aca="false">G16+H16</f>
        <v>20667.3266649831</v>
      </c>
      <c r="R16" s="35" t="n">
        <f aca="false">SUM(I16:L16)</f>
        <v>42405.1026255731</v>
      </c>
    </row>
    <row r="17" customFormat="false" ht="15" hidden="false" customHeight="false" outlineLevel="0" collapsed="false">
      <c r="A17" s="17" t="s">
        <v>269</v>
      </c>
      <c r="B17" s="30" t="n">
        <v>79.4046707113505</v>
      </c>
      <c r="C17" s="30" t="n">
        <v>62.8962980578957</v>
      </c>
      <c r="D17" s="20" t="n">
        <f aca="false">C17/C16-1</f>
        <v>-0.00279252336784286</v>
      </c>
      <c r="E17" s="20" t="n">
        <f aca="false">B17/B16-1</f>
        <v>0.0949099337437236</v>
      </c>
      <c r="F17" s="56" t="n">
        <f aca="false">B17/C17*100</f>
        <v>126.246970272017</v>
      </c>
      <c r="G17" s="60" t="n">
        <v>11339.576052731</v>
      </c>
      <c r="H17" s="60" t="n">
        <v>7435.69790474121</v>
      </c>
      <c r="I17" s="60" t="n">
        <v>10164.7487879122</v>
      </c>
      <c r="J17" s="60" t="n">
        <v>6020.67694417802</v>
      </c>
      <c r="K17" s="60" t="n">
        <v>25237.9672404613</v>
      </c>
      <c r="L17" s="60" t="n">
        <v>2697.63112787189</v>
      </c>
      <c r="M17" s="20" t="n">
        <f aca="false">(G17+H17)/SUM(G17:L17)</f>
        <v>0.298511590303608</v>
      </c>
      <c r="N17" s="32" t="n">
        <v>8708802.37160403</v>
      </c>
      <c r="O17" s="33" t="n">
        <f aca="false">C17*1000000000/N17</f>
        <v>7222.15241248047</v>
      </c>
      <c r="Q17" s="35" t="n">
        <f aca="false">G17+H17</f>
        <v>18775.2739574722</v>
      </c>
      <c r="R17" s="35" t="n">
        <f aca="false">SUM(I17:L17)</f>
        <v>44121.0241004235</v>
      </c>
    </row>
    <row r="18" customFormat="false" ht="15" hidden="false" customHeight="false" outlineLevel="0" collapsed="false">
      <c r="A18" s="17" t="s">
        <v>270</v>
      </c>
      <c r="B18" s="30" t="n">
        <v>83.8436862362938</v>
      </c>
      <c r="C18" s="30" t="n">
        <v>65.7143759010157</v>
      </c>
      <c r="D18" s="20" t="n">
        <f aca="false">C18/C17-1</f>
        <v>0.044805146409826</v>
      </c>
      <c r="E18" s="20" t="n">
        <f aca="false">B18/B17-1</f>
        <v>0.0559037079957165</v>
      </c>
      <c r="F18" s="56" t="n">
        <f aca="false">B18/C18*100</f>
        <v>127.588043082972</v>
      </c>
      <c r="G18" s="60" t="n">
        <v>13056.695406128</v>
      </c>
      <c r="H18" s="60" t="n">
        <v>7832.39038236426</v>
      </c>
      <c r="I18" s="60" t="n">
        <v>10394.3626914496</v>
      </c>
      <c r="J18" s="60" t="n">
        <v>6056.69253916893</v>
      </c>
      <c r="K18" s="60" t="n">
        <v>25542.0901980682</v>
      </c>
      <c r="L18" s="60" t="n">
        <v>2832.14468383669</v>
      </c>
      <c r="M18" s="20" t="n">
        <f aca="false">(G18+H18)/SUM(G18:L18)</f>
        <v>0.317876956177094</v>
      </c>
      <c r="N18" s="32" t="n">
        <v>8939120.28721096</v>
      </c>
      <c r="O18" s="33" t="n">
        <f aca="false">C18*1000000000/N18</f>
        <v>7351.32471536736</v>
      </c>
      <c r="Q18" s="35" t="n">
        <f aca="false">G18+H18</f>
        <v>20889.0857884923</v>
      </c>
      <c r="R18" s="35" t="n">
        <f aca="false">SUM(I18:L18)</f>
        <v>44825.2901125234</v>
      </c>
    </row>
    <row r="19" customFormat="false" ht="15" hidden="false" customHeight="false" outlineLevel="0" collapsed="false">
      <c r="A19" s="17" t="s">
        <v>271</v>
      </c>
      <c r="B19" s="30" t="n">
        <v>82.5150095004795</v>
      </c>
      <c r="C19" s="30" t="n">
        <v>63.6329177032648</v>
      </c>
      <c r="D19" s="20" t="n">
        <f aca="false">C19/C18-1</f>
        <v>-0.0316743204087674</v>
      </c>
      <c r="E19" s="20" t="n">
        <f aca="false">B19/B18-1</f>
        <v>-0.0158470696537574</v>
      </c>
      <c r="F19" s="56" t="n">
        <f aca="false">B19/C19*100</f>
        <v>129.673465367825</v>
      </c>
      <c r="G19" s="60" t="n">
        <v>12960.5221193062</v>
      </c>
      <c r="H19" s="60" t="n">
        <v>6016.1539991676</v>
      </c>
      <c r="I19" s="60" t="n">
        <v>10588.1000544659</v>
      </c>
      <c r="J19" s="60" t="n">
        <v>6475.3144699472</v>
      </c>
      <c r="K19" s="60" t="n">
        <v>25040.4922846594</v>
      </c>
      <c r="L19" s="60" t="n">
        <v>2552.33477571849</v>
      </c>
      <c r="M19" s="20" t="n">
        <f aca="false">(G19+H19)/SUM(G19:L19)</f>
        <v>0.298221059216026</v>
      </c>
      <c r="N19" s="32" t="n">
        <v>9175529.32074503</v>
      </c>
      <c r="O19" s="33" t="n">
        <f aca="false">C19*1000000000/N19</f>
        <v>6935.06777417152</v>
      </c>
      <c r="Q19" s="35" t="n">
        <f aca="false">G19+H19</f>
        <v>18976.6761184738</v>
      </c>
      <c r="R19" s="35" t="n">
        <f aca="false">SUM(I19:L19)</f>
        <v>44656.2415847909</v>
      </c>
    </row>
    <row r="20" customFormat="false" ht="15" hidden="false" customHeight="false" outlineLevel="0" collapsed="false">
      <c r="A20" s="17" t="s">
        <v>272</v>
      </c>
      <c r="B20" s="30" t="n">
        <v>91.611979103496</v>
      </c>
      <c r="C20" s="30" t="n">
        <v>63.3075285869756</v>
      </c>
      <c r="D20" s="20" t="n">
        <f aca="false">C20/C19-1</f>
        <v>-0.00511353444150697</v>
      </c>
      <c r="E20" s="20" t="n">
        <f aca="false">B20/B19-1</f>
        <v>0.110246240751673</v>
      </c>
      <c r="F20" s="56" t="n">
        <f aca="false">B20/C20*100</f>
        <v>144.709454228077</v>
      </c>
      <c r="G20" s="60" t="n">
        <v>12034.5924597392</v>
      </c>
      <c r="H20" s="60" t="n">
        <v>4739.70530349615</v>
      </c>
      <c r="I20" s="60" t="n">
        <v>10702.6432780879</v>
      </c>
      <c r="J20" s="60" t="n">
        <v>6946.1812652524</v>
      </c>
      <c r="K20" s="60" t="n">
        <v>26064.0651261692</v>
      </c>
      <c r="L20" s="60" t="n">
        <v>2820.34115423083</v>
      </c>
      <c r="M20" s="20" t="n">
        <f aca="false">(G20+H20)/SUM(G20:L20)</f>
        <v>0.264965291453287</v>
      </c>
      <c r="N20" s="32" t="n">
        <v>9418190.56135773</v>
      </c>
      <c r="O20" s="33" t="n">
        <f aca="false">C20*1000000000/N20</f>
        <v>6721.83559830723</v>
      </c>
      <c r="Q20" s="35" t="n">
        <f aca="false">G20+H20</f>
        <v>16774.2977632353</v>
      </c>
      <c r="R20" s="35" t="n">
        <f aca="false">SUM(I20:L20)</f>
        <v>46533.2308237403</v>
      </c>
    </row>
    <row r="21" customFormat="false" ht="15" hidden="false" customHeight="false" outlineLevel="0" collapsed="false">
      <c r="A21" s="17" t="s">
        <v>273</v>
      </c>
      <c r="B21" s="30" t="n">
        <v>111.394841598852</v>
      </c>
      <c r="C21" s="30" t="n">
        <v>66.920859034244</v>
      </c>
      <c r="D21" s="20" t="n">
        <f aca="false">C21/C20-1</f>
        <v>0.0570758411822099</v>
      </c>
      <c r="E21" s="20" t="n">
        <f aca="false">B21/B20-1</f>
        <v>0.215941874511924</v>
      </c>
      <c r="F21" s="56" t="n">
        <f aca="false">B21/C21*100</f>
        <v>166.457578707784</v>
      </c>
      <c r="G21" s="60" t="n">
        <v>12198.4671963832</v>
      </c>
      <c r="H21" s="60" t="n">
        <v>5437.59122176889</v>
      </c>
      <c r="I21" s="60" t="n">
        <v>11035.2611219268</v>
      </c>
      <c r="J21" s="60" t="n">
        <v>7195.61262273343</v>
      </c>
      <c r="K21" s="60" t="n">
        <v>28157.4662525181</v>
      </c>
      <c r="L21" s="60" t="n">
        <v>2896.46061891353</v>
      </c>
      <c r="M21" s="20" t="n">
        <f aca="false">(G21+H21)/SUM(G21:L21)</f>
        <v>0.263536043509657</v>
      </c>
      <c r="N21" s="32" t="n">
        <v>9667269.35845544</v>
      </c>
      <c r="O21" s="33" t="n">
        <f aca="false">C21*1000000000/N21</f>
        <v>6922.41589148563</v>
      </c>
      <c r="Q21" s="35" t="n">
        <f aca="false">G21+H21</f>
        <v>17636.0584181521</v>
      </c>
      <c r="R21" s="35" t="n">
        <f aca="false">SUM(I21:L21)</f>
        <v>49284.8006160919</v>
      </c>
    </row>
    <row r="22" customFormat="false" ht="15" hidden="false" customHeight="false" outlineLevel="0" collapsed="false">
      <c r="A22" s="17" t="s">
        <v>274</v>
      </c>
      <c r="B22" s="30" t="n">
        <v>110.619140028172</v>
      </c>
      <c r="C22" s="30" t="n">
        <v>69.4711367718997</v>
      </c>
      <c r="D22" s="20" t="n">
        <f aca="false">C22/C21-1</f>
        <v>0.0381088613394931</v>
      </c>
      <c r="E22" s="20" t="n">
        <f aca="false">B22/B21-1</f>
        <v>-0.00696353223853585</v>
      </c>
      <c r="F22" s="56" t="n">
        <f aca="false">B22/C22*100</f>
        <v>159.230358344901</v>
      </c>
      <c r="G22" s="60" t="n">
        <v>12347.2909219099</v>
      </c>
      <c r="H22" s="60" t="n">
        <v>5519.27921179784</v>
      </c>
      <c r="I22" s="60" t="n">
        <v>11141.2972597701</v>
      </c>
      <c r="J22" s="60" t="n">
        <v>7702.31461355301</v>
      </c>
      <c r="K22" s="60" t="n">
        <v>29274.1715210082</v>
      </c>
      <c r="L22" s="60" t="n">
        <v>3486.78324386078</v>
      </c>
      <c r="M22" s="20" t="n">
        <f aca="false">(G22+H22)/SUM(G22:L22)</f>
        <v>0.2571797578665</v>
      </c>
      <c r="N22" s="32" t="n">
        <v>9922935.43436849</v>
      </c>
      <c r="O22" s="33" t="n">
        <f aca="false">C22*1000000000/N22</f>
        <v>7001.06709666614</v>
      </c>
      <c r="Q22" s="35" t="n">
        <f aca="false">G22+H22</f>
        <v>17866.5701337077</v>
      </c>
      <c r="R22" s="35" t="n">
        <f aca="false">SUM(I22:L22)</f>
        <v>51604.5666381921</v>
      </c>
    </row>
    <row r="23" customFormat="false" ht="15" hidden="false" customHeight="false" outlineLevel="0" collapsed="false">
      <c r="A23" s="17" t="s">
        <v>80</v>
      </c>
      <c r="B23" s="30" t="n">
        <v>118.680430193042</v>
      </c>
      <c r="C23" s="30" t="n">
        <v>72.1723918989403</v>
      </c>
      <c r="D23" s="20" t="n">
        <f aca="false">C23/C22-1</f>
        <v>0.0388831283401885</v>
      </c>
      <c r="E23" s="20" t="n">
        <f aca="false">B23/B22-1</f>
        <v>0.0728742798291218</v>
      </c>
      <c r="F23" s="56" t="n">
        <f aca="false">B23/C23*100</f>
        <v>164.440206386986</v>
      </c>
      <c r="G23" s="60" t="n">
        <v>12189.8306274372</v>
      </c>
      <c r="H23" s="60" t="n">
        <v>6103.10616115848</v>
      </c>
      <c r="I23" s="60" t="n">
        <v>11373.6080951576</v>
      </c>
      <c r="J23" s="60" t="n">
        <v>8154.80873167867</v>
      </c>
      <c r="K23" s="60" t="n">
        <v>30889.6462916739</v>
      </c>
      <c r="L23" s="60" t="n">
        <v>3461.39199183448</v>
      </c>
      <c r="M23" s="20" t="n">
        <f aca="false">(G23+H23)/SUM(G23:L23)</f>
        <v>0.253461695078783</v>
      </c>
      <c r="N23" s="32" t="n">
        <v>10185363</v>
      </c>
      <c r="O23" s="33" t="n">
        <f aca="false">C23*1000000000/N23</f>
        <v>7085.89295236119</v>
      </c>
      <c r="Q23" s="35" t="n">
        <f aca="false">G23+H23</f>
        <v>18292.9367885957</v>
      </c>
      <c r="R23" s="35" t="n">
        <f aca="false">SUM(I23:L23)</f>
        <v>53879.4551103446</v>
      </c>
    </row>
    <row r="24" customFormat="false" ht="15" hidden="false" customHeight="false" outlineLevel="0" collapsed="false">
      <c r="A24" s="61" t="s">
        <v>275</v>
      </c>
      <c r="B24" s="62" t="n">
        <f aca="false">Dashboard!D25/1000</f>
        <v>133.255436841488</v>
      </c>
      <c r="C24" s="62" t="n">
        <f aca="false">Dashboard!D19/1000</f>
        <v>75.8270522474316</v>
      </c>
      <c r="D24" s="63" t="n">
        <f aca="false">C24/C23-1</f>
        <v>0.0506379275001541</v>
      </c>
      <c r="E24" s="63" t="n">
        <f aca="false">B24/B23-1</f>
        <v>0.122808845778023</v>
      </c>
      <c r="F24" s="64" t="n">
        <f aca="false">B24/C24*100</f>
        <v>175.73601095116</v>
      </c>
      <c r="G24" s="65" t="n">
        <f aca="false">Dashboard!D13</f>
        <v>13137.5617575959</v>
      </c>
      <c r="H24" s="65" t="n">
        <f aca="false">Dashboard!D14</f>
        <v>6834.68365591023</v>
      </c>
      <c r="I24" s="65" t="n">
        <f aca="false">Dashboard!D15</f>
        <v>11942.1435966103</v>
      </c>
      <c r="J24" s="65" t="n">
        <f aca="false">Dashboard!D16</f>
        <v>8641.87267100118</v>
      </c>
      <c r="K24" s="65" t="n">
        <f aca="false">Dashboard!D17</f>
        <v>31706.5713571606</v>
      </c>
      <c r="L24" s="65" t="n">
        <f aca="false">Dashboard!D18</f>
        <v>3564.21920915331</v>
      </c>
      <c r="M24" s="63" t="n">
        <f aca="false">(G24+H24)/SUM(G24:L24)</f>
        <v>0.263392085298722</v>
      </c>
      <c r="N24" s="66" t="n">
        <f aca="false">Dashboard!D26</f>
        <v>10454730.8735332</v>
      </c>
      <c r="O24" s="67" t="n">
        <f aca="false">C24*1000000000/N24</f>
        <v>7252.89375352477</v>
      </c>
      <c r="Q24" s="35" t="n">
        <f aca="false">G24+H24</f>
        <v>19972.2454135061</v>
      </c>
      <c r="R24" s="35" t="n">
        <f aca="false">SUM(I24:L24)</f>
        <v>55854.8068339254</v>
      </c>
    </row>
    <row r="26" customFormat="false" ht="15" hidden="false" customHeight="false" outlineLevel="0" collapsed="false">
      <c r="A26" s="41" t="s">
        <v>276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4" min="2" style="0" width="42"/>
    <col collapsed="false" customWidth="true" hidden="false" outlineLevel="0" max="5" min="5" style="0" width="50"/>
  </cols>
  <sheetData>
    <row r="1" customFormat="false" ht="17.35" hidden="false" customHeight="false" outlineLevel="0" collapsed="false">
      <c r="A1" s="1" t="s">
        <v>277</v>
      </c>
    </row>
    <row r="2" customFormat="false" ht="15" hidden="false" customHeight="false" outlineLevel="0" collapsed="false">
      <c r="A2" s="2" t="s">
        <v>278</v>
      </c>
    </row>
    <row r="4" customFormat="false" ht="31.5" hidden="false" customHeight="true" outlineLevel="0" collapsed="false">
      <c r="A4" s="16" t="s">
        <v>279</v>
      </c>
      <c r="B4" s="16" t="s">
        <v>280</v>
      </c>
      <c r="C4" s="16" t="s">
        <v>281</v>
      </c>
      <c r="D4" s="16" t="s">
        <v>282</v>
      </c>
      <c r="E4" s="16" t="s">
        <v>283</v>
      </c>
    </row>
    <row r="5" customFormat="false" ht="57.75" hidden="false" customHeight="true" outlineLevel="0" collapsed="false">
      <c r="A5" s="17" t="n">
        <v>1</v>
      </c>
      <c r="B5" s="68" t="s">
        <v>284</v>
      </c>
      <c r="C5" s="68" t="s">
        <v>285</v>
      </c>
      <c r="D5" s="68" t="s">
        <v>286</v>
      </c>
      <c r="E5" s="68" t="s">
        <v>287</v>
      </c>
    </row>
    <row r="6" customFormat="false" ht="57.75" hidden="false" customHeight="true" outlineLevel="0" collapsed="false">
      <c r="A6" s="17" t="n">
        <v>2</v>
      </c>
      <c r="B6" s="68" t="s">
        <v>288</v>
      </c>
      <c r="C6" s="68" t="s">
        <v>289</v>
      </c>
      <c r="D6" s="68" t="s">
        <v>290</v>
      </c>
      <c r="E6" s="68" t="s">
        <v>291</v>
      </c>
    </row>
    <row r="7" customFormat="false" ht="57.75" hidden="false" customHeight="true" outlineLevel="0" collapsed="false">
      <c r="A7" s="17" t="n">
        <v>3</v>
      </c>
      <c r="B7" s="68" t="s">
        <v>292</v>
      </c>
      <c r="C7" s="68" t="s">
        <v>293</v>
      </c>
      <c r="D7" s="68" t="s">
        <v>294</v>
      </c>
      <c r="E7" s="68" t="s">
        <v>295</v>
      </c>
    </row>
    <row r="8" customFormat="false" ht="57.75" hidden="false" customHeight="true" outlineLevel="0" collapsed="false">
      <c r="A8" s="17" t="n">
        <v>4</v>
      </c>
      <c r="B8" s="68" t="s">
        <v>296</v>
      </c>
      <c r="C8" s="68" t="s">
        <v>297</v>
      </c>
      <c r="D8" s="68" t="s">
        <v>298</v>
      </c>
      <c r="E8" s="68" t="s">
        <v>299</v>
      </c>
    </row>
    <row r="9" customFormat="false" ht="57.75" hidden="false" customHeight="true" outlineLevel="0" collapsed="false">
      <c r="A9" s="17" t="n">
        <v>5</v>
      </c>
      <c r="B9" s="68" t="s">
        <v>300</v>
      </c>
      <c r="C9" s="68" t="s">
        <v>301</v>
      </c>
      <c r="D9" s="68" t="s">
        <v>302</v>
      </c>
      <c r="E9" s="68" t="s">
        <v>303</v>
      </c>
    </row>
    <row r="10" customFormat="false" ht="57.75" hidden="false" customHeight="true" outlineLevel="0" collapsed="false">
      <c r="A10" s="17" t="n">
        <v>6</v>
      </c>
      <c r="B10" s="68" t="s">
        <v>304</v>
      </c>
      <c r="C10" s="68" t="s">
        <v>305</v>
      </c>
      <c r="D10" s="68" t="s">
        <v>306</v>
      </c>
      <c r="E10" s="68" t="s">
        <v>307</v>
      </c>
    </row>
    <row r="11" customFormat="false" ht="57.75" hidden="false" customHeight="true" outlineLevel="0" collapsed="false">
      <c r="A11" s="17" t="n">
        <v>7</v>
      </c>
      <c r="B11" s="68" t="s">
        <v>308</v>
      </c>
      <c r="C11" s="68" t="s">
        <v>309</v>
      </c>
      <c r="D11" s="68" t="s">
        <v>310</v>
      </c>
      <c r="E11" s="68" t="s">
        <v>311</v>
      </c>
    </row>
    <row r="12" customFormat="false" ht="57.75" hidden="false" customHeight="true" outlineLevel="0" collapsed="false">
      <c r="A12" s="17" t="n">
        <v>8</v>
      </c>
      <c r="B12" s="68" t="s">
        <v>312</v>
      </c>
      <c r="C12" s="68" t="s">
        <v>313</v>
      </c>
      <c r="D12" s="68" t="s">
        <v>314</v>
      </c>
      <c r="E12" s="68" t="s">
        <v>315</v>
      </c>
    </row>
    <row r="13" customFormat="false" ht="57.75" hidden="false" customHeight="true" outlineLevel="0" collapsed="false">
      <c r="A13" s="17" t="n">
        <v>9</v>
      </c>
      <c r="B13" s="68" t="s">
        <v>316</v>
      </c>
      <c r="C13" s="68" t="s">
        <v>317</v>
      </c>
      <c r="D13" s="68" t="s">
        <v>318</v>
      </c>
      <c r="E13" s="68" t="s">
        <v>319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2026-10-12T06:10:20Z</dcterms:created>
  <dc:creator>openpyxl</dc:creator>
  <dc:description/>
  <dc:language>en-US</dc:language>
  <cp:lastModifiedBy/>
  <dcterms:modified xsi:type="dcterms:W3CDTF">2026-10-12T06:10:22Z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