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ettings" sheetId="2" state="visible" r:id="rId2"/>
    <sheet name="Commodities" sheetId="3" state="visible" r:id="rId3"/>
    <sheet name="Production" sheetId="4" state="visible" r:id="rId4"/>
    <sheet name="Prices" sheetId="5" state="visible" r:id="rId5"/>
    <sheet name="Other_Sectors" sheetId="6" state="visible" r:id="rId6"/>
    <sheet name="GVA_Nominal" sheetId="7" state="visible" r:id="rId7"/>
    <sheet name="GVA_Real" sheetId="8" state="visible" r:id="rId8"/>
    <sheet name="GDP_Summary" sheetId="9" state="visible" r:id="rId9"/>
    <sheet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</font>
    <font>
      <i val="1"/>
      <color rgb="FF7F7F7F"/>
      <sz val="9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9" fontId="0" fillId="2" borderId="1" pivotButton="0" quotePrefix="0" xfId="0"/>
    <xf numFmtId="0" fontId="0" fillId="4" borderId="1" pivotButton="0" quotePrefix="0" xfId="0"/>
    <xf numFmtId="3" fontId="0" fillId="2" borderId="1" pivotButton="0" quotePrefix="0" xfId="0"/>
    <xf numFmtId="4" fontId="0" fillId="2" borderId="1" pivotButton="0" quotePrefix="0" xfId="0"/>
    <xf numFmtId="3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3" fontId="2" fillId="5" borderId="1" pivotButton="0" quotePrefix="0" xfId="0"/>
    <xf numFmtId="0" fontId="4" fillId="3" borderId="1" applyAlignment="1" pivotButton="0" quotePrefix="0" xfId="0">
      <alignment horizontal="center"/>
    </xf>
    <xf numFmtId="4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GDP: nominal vs real</a:t>
            </a:r>
          </a:p>
        </rich>
      </tx>
    </title>
    <plotArea>
      <lineChart>
        <grouping val="standard"/>
        <ser>
          <idx val="0"/>
          <order val="0"/>
          <tx>
            <v>Nominal GDP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'GDP_Summary'!$C$3:$J$3</f>
            </numRef>
          </cat>
          <val>
            <numRef>
              <f>'GDP_Summary'!$C$23:$J$23</f>
            </numRef>
          </val>
        </ser>
        <ser>
          <idx val="1"/>
          <order val="1"/>
          <tx>
            <v>Real GDP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'GDP_Summary'!$C$3:$J$3</f>
            </numRef>
          </cat>
          <val>
            <numRef>
              <f>'GDP_Summary'!$C$44:$J$44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 GDP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v>Real growth</v>
          </tx>
          <spPr>
            <a:ln>
              <a:prstDash val="solid"/>
            </a:ln>
          </spPr>
          <cat>
            <numRef>
              <f>'GDP_Summary'!$C$3:$J$3</f>
            </numRef>
          </cat>
          <val>
            <numRef>
              <f>'GDP_Summary'!$C$47:$J$47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GVA composition, 2026 (nominal shares)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'GDP_Summary'!$A$54:$A$69</f>
            </numRef>
          </cat>
          <val>
            <numRef>
              <f>'GDP_Summary'!$J$54:$J$69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GDP PRODUCTION MODEL</t>
        </is>
      </c>
    </row>
    <row r="3">
      <c r="B3" s="2" t="inlineStr">
        <is>
          <t>Production (output) approach:  GDP = Gross Value Added + Taxes less subsidies on products</t>
        </is>
      </c>
    </row>
    <row r="4">
      <c r="B4" t="inlineStr"/>
    </row>
    <row r="5">
      <c r="B5" s="2" t="inlineStr">
        <is>
          <t>HOW TO USE</t>
        </is>
      </c>
    </row>
    <row r="6">
      <c r="B6" t="inlineStr">
        <is>
          <t>1. Settings — set your country, currency unit, first year and constant-price base year.</t>
        </is>
      </c>
    </row>
    <row r="7">
      <c r="B7" t="inlineStr">
        <is>
          <t>2. Commodities — register each commodity: name, sector, unit, IC ratio and the commodity board it comes from.</t>
        </is>
      </c>
    </row>
    <row r="8">
      <c r="B8" t="inlineStr">
        <is>
          <t xml:space="preserve">   The IC ratio is the share of gross output used up as intermediate consumption (inputs). GVA = Output x (1 - IC ratio).</t>
        </is>
      </c>
    </row>
    <row r="9">
      <c r="B9" t="inlineStr">
        <is>
          <t>3. Production — enter yearly production quantities from your commodity boards (blue cells).</t>
        </is>
      </c>
    </row>
    <row r="10">
      <c r="B10" t="inlineStr">
        <is>
          <t>4. Prices — enter yearly average prices per unit, in your currency, same unit as the quantity (blue cells).</t>
        </is>
      </c>
    </row>
    <row r="11">
      <c r="B11" t="inlineStr">
        <is>
          <t>5. Other_Sectors — enter GVA directly for industries without commodity detail (manufacturing, services, government...).</t>
        </is>
      </c>
    </row>
    <row r="12">
      <c r="B12" t="inlineStr">
        <is>
          <t>6. GDP_Summary — GDP appears automatically: nominal, real (constant prices), growth, deflator and per capita.</t>
        </is>
      </c>
    </row>
    <row r="13">
      <c r="B13" t="inlineStr">
        <is>
          <t xml:space="preserve">   Enter 'Taxes less subsidies on products' and 'Population' on that sheet to complete the picture.</t>
        </is>
      </c>
    </row>
    <row r="14">
      <c r="B14" t="inlineStr"/>
    </row>
    <row r="15">
      <c r="B15" s="2" t="inlineStr">
        <is>
          <t>COLOUR CODE</t>
        </is>
      </c>
    </row>
    <row r="16">
      <c r="B16" t="inlineStr">
        <is>
          <t xml:space="preserve">   BLUE cells   = your inputs</t>
        </is>
      </c>
    </row>
    <row r="17">
      <c r="B17" t="inlineStr">
        <is>
          <t xml:space="preserve">   GREY cells   = calculated, do not type over them</t>
        </is>
      </c>
    </row>
    <row r="18">
      <c r="B18" t="inlineStr">
        <is>
          <t xml:space="preserve">   AMBER cells  = key results</t>
        </is>
      </c>
    </row>
    <row r="19">
      <c r="B19" t="inlineStr"/>
    </row>
    <row r="20">
      <c r="B20" s="2" t="inlineStr">
        <is>
          <t>ADDING A COMMODITY</t>
        </is>
      </c>
    </row>
    <row r="21">
      <c r="B21" t="inlineStr">
        <is>
          <t xml:space="preserve">   Add it on any empty row of the Commodities sheet — its name flows automatically to Production, Prices and the</t>
        </is>
      </c>
    </row>
    <row r="22">
      <c r="B22" t="inlineStr">
        <is>
          <t xml:space="preserve">   GVA sheets. Then type its quantities and prices. Totals and GDP update by themselves (40 slots are pre-wired).</t>
        </is>
      </c>
    </row>
    <row r="23">
      <c r="B23" t="inlineStr"/>
    </row>
    <row r="24">
      <c r="B24" s="2" t="inlineStr">
        <is>
          <t>REAL (CONSTANT-PRICE) GDP</t>
        </is>
      </c>
    </row>
    <row r="25">
      <c r="B25" t="inlineStr">
        <is>
          <t xml:space="preserve">   Real GVA values every year's quantity at the base-year price set in Settings, isolating volume growth from</t>
        </is>
      </c>
    </row>
    <row r="26">
      <c r="B26" t="inlineStr">
        <is>
          <t xml:space="preserve">   price changes. Make sure prices are filled in for the base year.</t>
        </is>
      </c>
    </row>
    <row r="27">
      <c r="B27" t="inlineStr"/>
    </row>
    <row r="28">
      <c r="B28" s="2" t="inlineStr">
        <is>
          <t>NOTE</t>
        </is>
      </c>
    </row>
    <row r="29">
      <c r="B29" t="inlineStr">
        <is>
          <t xml:space="preserve">   All values are in the currency unit you choose (e.g. millions). Keep quantity units and price units consistent:</t>
        </is>
      </c>
    </row>
    <row r="30">
      <c r="B30" t="inlineStr">
        <is>
          <t xml:space="preserve">   if quantity is in tonnes, the price must be per tonne. The data shipped in this file is EXAMPLE data — replace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80" customWidth="1" min="4" max="4"/>
  </cols>
  <sheetData>
    <row r="1">
      <c r="A1" s="1" t="inlineStr">
        <is>
          <t>SETTINGS</t>
        </is>
      </c>
    </row>
    <row r="3">
      <c r="A3" s="2" t="inlineStr">
        <is>
          <t>Country / economy</t>
        </is>
      </c>
      <c r="B3" s="3" t="inlineStr">
        <is>
          <t>Example Country</t>
        </is>
      </c>
    </row>
    <row r="4">
      <c r="A4" s="2" t="inlineStr">
        <is>
          <t>Base year (constant prices)</t>
        </is>
      </c>
      <c r="B4" s="3" t="n">
        <v>2021</v>
      </c>
      <c r="D4" s="4" t="inlineStr">
        <is>
          <t>Must be a year with prices filled in on the Prices sheet.</t>
        </is>
      </c>
    </row>
    <row r="5">
      <c r="A5" s="2" t="inlineStr">
        <is>
          <t>First year of the model</t>
        </is>
      </c>
      <c r="B5" s="3" t="n">
        <v>2019</v>
      </c>
      <c r="D5" s="4" t="inlineStr">
        <is>
          <t>The model covers 8 consecutive years from this year.</t>
        </is>
      </c>
    </row>
    <row r="6">
      <c r="A6" s="2" t="inlineStr">
        <is>
          <t>Currency unit</t>
        </is>
      </c>
      <c r="B6" s="3" t="inlineStr">
        <is>
          <t>LCU</t>
        </is>
      </c>
      <c r="D6" s="4" t="inlineStr">
        <is>
          <t>e.g. 'GHS million' — label only, used in headings.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2" customWidth="1" min="4" max="4"/>
    <col width="10" customWidth="1" min="5" max="5"/>
    <col width="22" customWidth="1" min="6" max="6"/>
    <col width="30" customWidth="1" min="7" max="7"/>
  </cols>
  <sheetData>
    <row r="1">
      <c r="A1" s="5" t="inlineStr">
        <is>
          <t>Code</t>
        </is>
      </c>
      <c r="B1" s="5" t="inlineStr">
        <is>
          <t>Commodity</t>
        </is>
      </c>
      <c r="C1" s="5" t="inlineStr">
        <is>
          <t>Sector</t>
        </is>
      </c>
      <c r="D1" s="5" t="inlineStr">
        <is>
          <t>Unit</t>
        </is>
      </c>
      <c r="E1" s="5" t="inlineStr">
        <is>
          <t>IC ratio</t>
        </is>
      </c>
      <c r="F1" s="5" t="inlineStr">
        <is>
          <t>Source (board)</t>
        </is>
      </c>
      <c r="G1" s="5" t="inlineStr">
        <is>
          <t>Notes</t>
        </is>
      </c>
    </row>
    <row r="2">
      <c r="A2" s="3" t="inlineStr">
        <is>
          <t>AGR01</t>
        </is>
      </c>
      <c r="B2" s="3" t="inlineStr">
        <is>
          <t>Cocoa beans</t>
        </is>
      </c>
      <c r="C2" s="3" t="inlineStr">
        <is>
          <t>Agriculture &amp; Livestock</t>
        </is>
      </c>
      <c r="D2" s="3" t="inlineStr">
        <is>
          <t>tonnes</t>
        </is>
      </c>
      <c r="E2" s="6" t="n">
        <v>0.3</v>
      </c>
      <c r="F2" s="3" t="inlineStr">
        <is>
          <t>Cocoa Board</t>
        </is>
      </c>
      <c r="G2" s="3" t="n"/>
    </row>
    <row r="3">
      <c r="A3" s="3" t="inlineStr">
        <is>
          <t>AGR02</t>
        </is>
      </c>
      <c r="B3" s="3" t="inlineStr">
        <is>
          <t>Coffee (green)</t>
        </is>
      </c>
      <c r="C3" s="3" t="inlineStr">
        <is>
          <t>Agriculture &amp; Livestock</t>
        </is>
      </c>
      <c r="D3" s="3" t="inlineStr">
        <is>
          <t>tonnes</t>
        </is>
      </c>
      <c r="E3" s="6" t="n">
        <v>0.3</v>
      </c>
      <c r="F3" s="3" t="inlineStr">
        <is>
          <t>Coffee Board</t>
        </is>
      </c>
      <c r="G3" s="3" t="n"/>
    </row>
    <row r="4">
      <c r="A4" s="3" t="inlineStr">
        <is>
          <t>AGR03</t>
        </is>
      </c>
      <c r="B4" s="3" t="inlineStr">
        <is>
          <t>Rubber (dry)</t>
        </is>
      </c>
      <c r="C4" s="3" t="inlineStr">
        <is>
          <t>Agriculture &amp; Livestock</t>
        </is>
      </c>
      <c r="D4" s="3" t="inlineStr">
        <is>
          <t>tonnes</t>
        </is>
      </c>
      <c r="E4" s="6" t="n">
        <v>0.32</v>
      </c>
      <c r="F4" s="3" t="inlineStr">
        <is>
          <t>Rubber Board</t>
        </is>
      </c>
      <c r="G4" s="3" t="n"/>
    </row>
    <row r="5">
      <c r="A5" s="3" t="inlineStr">
        <is>
          <t>AGR04</t>
        </is>
      </c>
      <c r="B5" s="3" t="inlineStr">
        <is>
          <t>Palm oil (crude)</t>
        </is>
      </c>
      <c r="C5" s="3" t="inlineStr">
        <is>
          <t>Agriculture &amp; Livestock</t>
        </is>
      </c>
      <c r="D5" s="3" t="inlineStr">
        <is>
          <t>tonnes</t>
        </is>
      </c>
      <c r="E5" s="6" t="n">
        <v>0.35</v>
      </c>
      <c r="F5" s="3" t="inlineStr">
        <is>
          <t>Palm Oil Board</t>
        </is>
      </c>
      <c r="G5" s="3" t="n"/>
    </row>
    <row r="6">
      <c r="A6" s="3" t="inlineStr">
        <is>
          <t>AGR05</t>
        </is>
      </c>
      <c r="B6" s="3" t="inlineStr">
        <is>
          <t>Rice (paddy)</t>
        </is>
      </c>
      <c r="C6" s="3" t="inlineStr">
        <is>
          <t>Agriculture &amp; Livestock</t>
        </is>
      </c>
      <c r="D6" s="3" t="inlineStr">
        <is>
          <t>tonnes</t>
        </is>
      </c>
      <c r="E6" s="6" t="n">
        <v>0.28</v>
      </c>
      <c r="F6" s="3" t="inlineStr">
        <is>
          <t>Grain Board</t>
        </is>
      </c>
      <c r="G6" s="3" t="n"/>
    </row>
    <row r="7">
      <c r="A7" s="3" t="inlineStr">
        <is>
          <t>AGR06</t>
        </is>
      </c>
      <c r="B7" s="3" t="inlineStr">
        <is>
          <t>Maize</t>
        </is>
      </c>
      <c r="C7" s="3" t="inlineStr">
        <is>
          <t>Agriculture &amp; Livestock</t>
        </is>
      </c>
      <c r="D7" s="3" t="inlineStr">
        <is>
          <t>tonnes</t>
        </is>
      </c>
      <c r="E7" s="6" t="n">
        <v>0.28</v>
      </c>
      <c r="F7" s="3" t="inlineStr">
        <is>
          <t>Grain Board</t>
        </is>
      </c>
      <c r="G7" s="3" t="n"/>
    </row>
    <row r="8">
      <c r="A8" s="3" t="inlineStr">
        <is>
          <t>AGR07</t>
        </is>
      </c>
      <c r="B8" s="3" t="inlineStr">
        <is>
          <t>Cotton (seed)</t>
        </is>
      </c>
      <c r="C8" s="3" t="inlineStr">
        <is>
          <t>Agriculture &amp; Livestock</t>
        </is>
      </c>
      <c r="D8" s="3" t="inlineStr">
        <is>
          <t>tonnes</t>
        </is>
      </c>
      <c r="E8" s="6" t="n">
        <v>0.3</v>
      </c>
      <c r="F8" s="3" t="inlineStr">
        <is>
          <t>Cotton Board</t>
        </is>
      </c>
      <c r="G8" s="3" t="n"/>
    </row>
    <row r="9">
      <c r="A9" s="3" t="inlineStr">
        <is>
          <t>FOR01</t>
        </is>
      </c>
      <c r="B9" s="3" t="inlineStr">
        <is>
          <t>Round logs</t>
        </is>
      </c>
      <c r="C9" s="3" t="inlineStr">
        <is>
          <t>Forestry</t>
        </is>
      </c>
      <c r="D9" s="3" t="inlineStr">
        <is>
          <t>m3</t>
        </is>
      </c>
      <c r="E9" s="6" t="n">
        <v>0.35</v>
      </c>
      <c r="F9" s="3" t="inlineStr">
        <is>
          <t>Forestry Authority</t>
        </is>
      </c>
      <c r="G9" s="3" t="n"/>
    </row>
    <row r="10">
      <c r="A10" s="3" t="inlineStr">
        <is>
          <t>FOR02</t>
        </is>
      </c>
      <c r="B10" s="3" t="inlineStr">
        <is>
          <t>Sawn timber</t>
        </is>
      </c>
      <c r="C10" s="3" t="inlineStr">
        <is>
          <t>Forestry</t>
        </is>
      </c>
      <c r="D10" s="3" t="inlineStr">
        <is>
          <t>m3</t>
        </is>
      </c>
      <c r="E10" s="6" t="n">
        <v>0.4</v>
      </c>
      <c r="F10" s="3" t="inlineStr">
        <is>
          <t>Forestry Authority</t>
        </is>
      </c>
      <c r="G10" s="3" t="n"/>
    </row>
    <row r="11">
      <c r="A11" s="3" t="inlineStr">
        <is>
          <t>FSH01</t>
        </is>
      </c>
      <c r="B11" s="3" t="inlineStr">
        <is>
          <t>Fish catch (marine)</t>
        </is>
      </c>
      <c r="C11" s="3" t="inlineStr">
        <is>
          <t>Fishing</t>
        </is>
      </c>
      <c r="D11" s="3" t="inlineStr">
        <is>
          <t>tonnes</t>
        </is>
      </c>
      <c r="E11" s="6" t="n">
        <v>0.35</v>
      </c>
      <c r="F11" s="3" t="inlineStr">
        <is>
          <t>Fisheries Authority</t>
        </is>
      </c>
      <c r="G11" s="3" t="n"/>
    </row>
    <row r="12">
      <c r="A12" s="3" t="inlineStr">
        <is>
          <t>MIN01</t>
        </is>
      </c>
      <c r="B12" s="3" t="inlineStr">
        <is>
          <t>Gold</t>
        </is>
      </c>
      <c r="C12" s="3" t="inlineStr">
        <is>
          <t>Mining &amp; Quarrying</t>
        </is>
      </c>
      <c r="D12" s="3" t="inlineStr">
        <is>
          <t>kg</t>
        </is>
      </c>
      <c r="E12" s="6" t="n">
        <v>0.4</v>
      </c>
      <c r="F12" s="3" t="inlineStr">
        <is>
          <t>Minerals Board</t>
        </is>
      </c>
      <c r="G12" s="3" t="n"/>
    </row>
    <row r="13">
      <c r="A13" s="3" t="inlineStr">
        <is>
          <t>MIN02</t>
        </is>
      </c>
      <c r="B13" s="3" t="inlineStr">
        <is>
          <t>Diamonds</t>
        </is>
      </c>
      <c r="C13" s="3" t="inlineStr">
        <is>
          <t>Mining &amp; Quarrying</t>
        </is>
      </c>
      <c r="D13" s="3" t="inlineStr">
        <is>
          <t>carats</t>
        </is>
      </c>
      <c r="E13" s="6" t="n">
        <v>0.4</v>
      </c>
      <c r="F13" s="3" t="inlineStr">
        <is>
          <t>Minerals Board</t>
        </is>
      </c>
      <c r="G13" s="3" t="n"/>
    </row>
    <row r="14">
      <c r="A14" s="3" t="inlineStr">
        <is>
          <t>MIN03</t>
        </is>
      </c>
      <c r="B14" s="3" t="inlineStr">
        <is>
          <t>Iron ore</t>
        </is>
      </c>
      <c r="C14" s="3" t="inlineStr">
        <is>
          <t>Mining &amp; Quarrying</t>
        </is>
      </c>
      <c r="D14" s="3" t="inlineStr">
        <is>
          <t>tonnes</t>
        </is>
      </c>
      <c r="E14" s="6" t="n">
        <v>0.45</v>
      </c>
      <c r="F14" s="3" t="inlineStr">
        <is>
          <t>Minerals Board</t>
        </is>
      </c>
      <c r="G14" s="3" t="n"/>
    </row>
    <row r="15">
      <c r="A15" s="3" t="n"/>
      <c r="B15" s="3" t="n"/>
      <c r="C15" s="3" t="n"/>
      <c r="D15" s="3" t="n"/>
      <c r="E15" s="6" t="n"/>
      <c r="F15" s="3" t="n"/>
      <c r="G15" s="3" t="n"/>
    </row>
    <row r="16">
      <c r="A16" s="3" t="n"/>
      <c r="B16" s="3" t="n"/>
      <c r="C16" s="3" t="n"/>
      <c r="D16" s="3" t="n"/>
      <c r="E16" s="6" t="n"/>
      <c r="F16" s="3" t="n"/>
      <c r="G16" s="3" t="n"/>
    </row>
    <row r="17">
      <c r="A17" s="3" t="n"/>
      <c r="B17" s="3" t="n"/>
      <c r="C17" s="3" t="n"/>
      <c r="D17" s="3" t="n"/>
      <c r="E17" s="6" t="n"/>
      <c r="F17" s="3" t="n"/>
      <c r="G17" s="3" t="n"/>
    </row>
    <row r="18">
      <c r="A18" s="3" t="n"/>
      <c r="B18" s="3" t="n"/>
      <c r="C18" s="3" t="n"/>
      <c r="D18" s="3" t="n"/>
      <c r="E18" s="6" t="n"/>
      <c r="F18" s="3" t="n"/>
      <c r="G18" s="3" t="n"/>
    </row>
    <row r="19">
      <c r="A19" s="3" t="n"/>
      <c r="B19" s="3" t="n"/>
      <c r="C19" s="3" t="n"/>
      <c r="D19" s="3" t="n"/>
      <c r="E19" s="6" t="n"/>
      <c r="F19" s="3" t="n"/>
      <c r="G19" s="3" t="n"/>
    </row>
    <row r="20">
      <c r="A20" s="3" t="n"/>
      <c r="B20" s="3" t="n"/>
      <c r="C20" s="3" t="n"/>
      <c r="D20" s="3" t="n"/>
      <c r="E20" s="6" t="n"/>
      <c r="F20" s="3" t="n"/>
      <c r="G20" s="3" t="n"/>
    </row>
    <row r="21">
      <c r="A21" s="3" t="n"/>
      <c r="B21" s="3" t="n"/>
      <c r="C21" s="3" t="n"/>
      <c r="D21" s="3" t="n"/>
      <c r="E21" s="6" t="n"/>
      <c r="F21" s="3" t="n"/>
      <c r="G21" s="3" t="n"/>
    </row>
    <row r="22">
      <c r="A22" s="3" t="n"/>
      <c r="B22" s="3" t="n"/>
      <c r="C22" s="3" t="n"/>
      <c r="D22" s="3" t="n"/>
      <c r="E22" s="6" t="n"/>
      <c r="F22" s="3" t="n"/>
      <c r="G22" s="3" t="n"/>
    </row>
    <row r="23">
      <c r="A23" s="3" t="n"/>
      <c r="B23" s="3" t="n"/>
      <c r="C23" s="3" t="n"/>
      <c r="D23" s="3" t="n"/>
      <c r="E23" s="6" t="n"/>
      <c r="F23" s="3" t="n"/>
      <c r="G23" s="3" t="n"/>
    </row>
    <row r="24">
      <c r="A24" s="3" t="n"/>
      <c r="B24" s="3" t="n"/>
      <c r="C24" s="3" t="n"/>
      <c r="D24" s="3" t="n"/>
      <c r="E24" s="6" t="n"/>
      <c r="F24" s="3" t="n"/>
      <c r="G24" s="3" t="n"/>
    </row>
    <row r="25">
      <c r="A25" s="3" t="n"/>
      <c r="B25" s="3" t="n"/>
      <c r="C25" s="3" t="n"/>
      <c r="D25" s="3" t="n"/>
      <c r="E25" s="6" t="n"/>
      <c r="F25" s="3" t="n"/>
      <c r="G25" s="3" t="n"/>
    </row>
    <row r="26">
      <c r="A26" s="3" t="n"/>
      <c r="B26" s="3" t="n"/>
      <c r="C26" s="3" t="n"/>
      <c r="D26" s="3" t="n"/>
      <c r="E26" s="6" t="n"/>
      <c r="F26" s="3" t="n"/>
      <c r="G26" s="3" t="n"/>
    </row>
    <row r="27">
      <c r="A27" s="3" t="n"/>
      <c r="B27" s="3" t="n"/>
      <c r="C27" s="3" t="n"/>
      <c r="D27" s="3" t="n"/>
      <c r="E27" s="6" t="n"/>
      <c r="F27" s="3" t="n"/>
      <c r="G27" s="3" t="n"/>
    </row>
    <row r="28">
      <c r="A28" s="3" t="n"/>
      <c r="B28" s="3" t="n"/>
      <c r="C28" s="3" t="n"/>
      <c r="D28" s="3" t="n"/>
      <c r="E28" s="6" t="n"/>
      <c r="F28" s="3" t="n"/>
      <c r="G28" s="3" t="n"/>
    </row>
    <row r="29">
      <c r="A29" s="3" t="n"/>
      <c r="B29" s="3" t="n"/>
      <c r="C29" s="3" t="n"/>
      <c r="D29" s="3" t="n"/>
      <c r="E29" s="6" t="n"/>
      <c r="F29" s="3" t="n"/>
      <c r="G29" s="3" t="n"/>
    </row>
    <row r="30">
      <c r="A30" s="3" t="n"/>
      <c r="B30" s="3" t="n"/>
      <c r="C30" s="3" t="n"/>
      <c r="D30" s="3" t="n"/>
      <c r="E30" s="6" t="n"/>
      <c r="F30" s="3" t="n"/>
      <c r="G30" s="3" t="n"/>
    </row>
    <row r="31">
      <c r="A31" s="3" t="n"/>
      <c r="B31" s="3" t="n"/>
      <c r="C31" s="3" t="n"/>
      <c r="D31" s="3" t="n"/>
      <c r="E31" s="6" t="n"/>
      <c r="F31" s="3" t="n"/>
      <c r="G31" s="3" t="n"/>
    </row>
    <row r="32">
      <c r="A32" s="3" t="n"/>
      <c r="B32" s="3" t="n"/>
      <c r="C32" s="3" t="n"/>
      <c r="D32" s="3" t="n"/>
      <c r="E32" s="6" t="n"/>
      <c r="F32" s="3" t="n"/>
      <c r="G32" s="3" t="n"/>
    </row>
    <row r="33">
      <c r="A33" s="3" t="n"/>
      <c r="B33" s="3" t="n"/>
      <c r="C33" s="3" t="n"/>
      <c r="D33" s="3" t="n"/>
      <c r="E33" s="6" t="n"/>
      <c r="F33" s="3" t="n"/>
      <c r="G33" s="3" t="n"/>
    </row>
    <row r="34">
      <c r="A34" s="3" t="n"/>
      <c r="B34" s="3" t="n"/>
      <c r="C34" s="3" t="n"/>
      <c r="D34" s="3" t="n"/>
      <c r="E34" s="6" t="n"/>
      <c r="F34" s="3" t="n"/>
      <c r="G34" s="3" t="n"/>
    </row>
    <row r="35">
      <c r="A35" s="3" t="n"/>
      <c r="B35" s="3" t="n"/>
      <c r="C35" s="3" t="n"/>
      <c r="D35" s="3" t="n"/>
      <c r="E35" s="6" t="n"/>
      <c r="F35" s="3" t="n"/>
      <c r="G35" s="3" t="n"/>
    </row>
    <row r="36">
      <c r="A36" s="3" t="n"/>
      <c r="B36" s="3" t="n"/>
      <c r="C36" s="3" t="n"/>
      <c r="D36" s="3" t="n"/>
      <c r="E36" s="6" t="n"/>
      <c r="F36" s="3" t="n"/>
      <c r="G36" s="3" t="n"/>
    </row>
    <row r="37">
      <c r="A37" s="3" t="n"/>
      <c r="B37" s="3" t="n"/>
      <c r="C37" s="3" t="n"/>
      <c r="D37" s="3" t="n"/>
      <c r="E37" s="6" t="n"/>
      <c r="F37" s="3" t="n"/>
      <c r="G37" s="3" t="n"/>
    </row>
    <row r="38">
      <c r="A38" s="3" t="n"/>
      <c r="B38" s="3" t="n"/>
      <c r="C38" s="3" t="n"/>
      <c r="D38" s="3" t="n"/>
      <c r="E38" s="6" t="n"/>
      <c r="F38" s="3" t="n"/>
      <c r="G38" s="3" t="n"/>
    </row>
    <row r="39">
      <c r="A39" s="3" t="n"/>
      <c r="B39" s="3" t="n"/>
      <c r="C39" s="3" t="n"/>
      <c r="D39" s="3" t="n"/>
      <c r="E39" s="6" t="n"/>
      <c r="F39" s="3" t="n"/>
      <c r="G39" s="3" t="n"/>
    </row>
    <row r="40">
      <c r="A40" s="3" t="n"/>
      <c r="B40" s="3" t="n"/>
      <c r="C40" s="3" t="n"/>
      <c r="D40" s="3" t="n"/>
      <c r="E40" s="6" t="n"/>
      <c r="F40" s="3" t="n"/>
      <c r="G40" s="3" t="n"/>
    </row>
    <row r="41">
      <c r="A41" s="3" t="n"/>
      <c r="B41" s="3" t="n"/>
      <c r="C41" s="3" t="n"/>
      <c r="D41" s="3" t="n"/>
      <c r="E41" s="6" t="n"/>
      <c r="F41" s="3" t="n"/>
      <c r="G41" s="3" t="n"/>
    </row>
  </sheetData>
  <dataValidations count="2">
    <dataValidation sqref="C2:C41" showDropDown="0" showInputMessage="0" showErrorMessage="1" allowBlank="1" errorTitle="Unknown sector" error="Pick one of the commodity sectors (or add it to SECTORS in build_model.py and re-run)." type="list">
      <formula1>"Agriculture &amp; Livestock,Forestry,Fishing,Mining &amp; Quarrying"</formula1>
    </dataValidation>
    <dataValidation sqref="E2:E41" showDropDown="0" showInputMessage="0" showErrorMessage="1" allowBlank="1" errorTitle="IC ratio" error="Enter a share between 0 and 0.95 (e.g. 0.30 = 30% of output used as inputs)." type="decimal" operator="between">
      <formula1>0</formula1>
      <formula2>0.95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5" t="inlineStr">
        <is>
          <t>Commodity</t>
        </is>
      </c>
      <c r="B1" s="5" t="inlineStr">
        <is>
          <t>Unit</t>
        </is>
      </c>
      <c r="C1" s="5">
        <f>Settings!$B$5</f>
        <v/>
      </c>
      <c r="D1" s="5">
        <f>C1+1</f>
        <v/>
      </c>
      <c r="E1" s="5">
        <f>D1+1</f>
        <v/>
      </c>
      <c r="F1" s="5">
        <f>E1+1</f>
        <v/>
      </c>
      <c r="G1" s="5">
        <f>F1+1</f>
        <v/>
      </c>
      <c r="H1" s="5">
        <f>G1+1</f>
        <v/>
      </c>
      <c r="I1" s="5">
        <f>H1+1</f>
        <v/>
      </c>
      <c r="J1" s="5">
        <f>I1+1</f>
        <v/>
      </c>
    </row>
    <row r="2">
      <c r="A2" s="7">
        <f>IF(Commodities!B2="","",Commodities!B2)</f>
        <v/>
      </c>
      <c r="B2" s="7">
        <f>IF(Commodities!D2="","",Commodities!D2)</f>
        <v/>
      </c>
      <c r="C2" s="8" t="n">
        <v>85000</v>
      </c>
      <c r="D2" s="8" t="n">
        <v>87550</v>
      </c>
      <c r="E2" s="8" t="n">
        <v>90176.5</v>
      </c>
      <c r="F2" s="8" t="n">
        <v>92881.8</v>
      </c>
      <c r="G2" s="8" t="n">
        <v>95668.2</v>
      </c>
      <c r="H2" s="8" t="n">
        <v>98538.3</v>
      </c>
      <c r="I2" s="8" t="n">
        <v>101494.4</v>
      </c>
      <c r="J2" s="8" t="n">
        <v>104539.3</v>
      </c>
    </row>
    <row r="3">
      <c r="A3" s="7">
        <f>IF(Commodities!B3="","",Commodities!B3)</f>
        <v/>
      </c>
      <c r="B3" s="7">
        <f>IF(Commodities!D3="","",Commodities!D3)</f>
        <v/>
      </c>
      <c r="C3" s="8" t="n">
        <v>12000</v>
      </c>
      <c r="D3" s="8" t="n">
        <v>12240</v>
      </c>
      <c r="E3" s="8" t="n">
        <v>12484.8</v>
      </c>
      <c r="F3" s="8" t="n">
        <v>12734.5</v>
      </c>
      <c r="G3" s="8" t="n">
        <v>12989.2</v>
      </c>
      <c r="H3" s="8" t="n">
        <v>13249</v>
      </c>
      <c r="I3" s="8" t="n">
        <v>13513.9</v>
      </c>
      <c r="J3" s="8" t="n">
        <v>13784.2</v>
      </c>
    </row>
    <row r="4">
      <c r="A4" s="7">
        <f>IF(Commodities!B4="","",Commodities!B4)</f>
        <v/>
      </c>
      <c r="B4" s="7">
        <f>IF(Commodities!D4="","",Commodities!D4)</f>
        <v/>
      </c>
      <c r="C4" s="8" t="n">
        <v>60000</v>
      </c>
      <c r="D4" s="8" t="n">
        <v>60600</v>
      </c>
      <c r="E4" s="8" t="n">
        <v>61206</v>
      </c>
      <c r="F4" s="8" t="n">
        <v>61818.1</v>
      </c>
      <c r="G4" s="8" t="n">
        <v>62436.2</v>
      </c>
      <c r="H4" s="8" t="n">
        <v>63060.6</v>
      </c>
      <c r="I4" s="8" t="n">
        <v>63691.2</v>
      </c>
      <c r="J4" s="8" t="n">
        <v>64328.1</v>
      </c>
    </row>
    <row r="5">
      <c r="A5" s="7">
        <f>IF(Commodities!B5="","",Commodities!B5)</f>
        <v/>
      </c>
      <c r="B5" s="7">
        <f>IF(Commodities!D5="","",Commodities!D5)</f>
        <v/>
      </c>
      <c r="C5" s="8" t="n">
        <v>140000</v>
      </c>
      <c r="D5" s="8" t="n">
        <v>145600</v>
      </c>
      <c r="E5" s="8" t="n">
        <v>151424</v>
      </c>
      <c r="F5" s="8" t="n">
        <v>157481</v>
      </c>
      <c r="G5" s="8" t="n">
        <v>163780.2</v>
      </c>
      <c r="H5" s="8" t="n">
        <v>170331.4</v>
      </c>
      <c r="I5" s="8" t="n">
        <v>177144.7</v>
      </c>
      <c r="J5" s="8" t="n">
        <v>184230.4</v>
      </c>
    </row>
    <row r="6">
      <c r="A6" s="7">
        <f>IF(Commodities!B6="","",Commodities!B6)</f>
        <v/>
      </c>
      <c r="B6" s="7">
        <f>IF(Commodities!D6="","",Commodities!D6)</f>
        <v/>
      </c>
      <c r="C6" s="8" t="n">
        <v>260000</v>
      </c>
      <c r="D6" s="8" t="n">
        <v>267800</v>
      </c>
      <c r="E6" s="8" t="n">
        <v>275834</v>
      </c>
      <c r="F6" s="8" t="n">
        <v>284109</v>
      </c>
      <c r="G6" s="8" t="n">
        <v>292632.3</v>
      </c>
      <c r="H6" s="8" t="n">
        <v>301411.3</v>
      </c>
      <c r="I6" s="8" t="n">
        <v>310453.6</v>
      </c>
      <c r="J6" s="8" t="n">
        <v>319767.2</v>
      </c>
    </row>
    <row r="7">
      <c r="A7" s="7">
        <f>IF(Commodities!B7="","",Commodities!B7)</f>
        <v/>
      </c>
      <c r="B7" s="7">
        <f>IF(Commodities!D7="","",Commodities!D7)</f>
        <v/>
      </c>
      <c r="C7" s="8" t="n">
        <v>180000</v>
      </c>
      <c r="D7" s="8" t="n">
        <v>183600</v>
      </c>
      <c r="E7" s="8" t="n">
        <v>187272</v>
      </c>
      <c r="F7" s="8" t="n">
        <v>191017.4</v>
      </c>
      <c r="G7" s="8" t="n">
        <v>194837.8</v>
      </c>
      <c r="H7" s="8" t="n">
        <v>198734.5</v>
      </c>
      <c r="I7" s="8" t="n">
        <v>202709.2</v>
      </c>
      <c r="J7" s="8" t="n">
        <v>206763.4</v>
      </c>
    </row>
    <row r="8">
      <c r="A8" s="7">
        <f>IF(Commodities!B8="","",Commodities!B8)</f>
        <v/>
      </c>
      <c r="B8" s="7">
        <f>IF(Commodities!D8="","",Commodities!D8)</f>
        <v/>
      </c>
      <c r="C8" s="8" t="n">
        <v>35000</v>
      </c>
      <c r="D8" s="8" t="n">
        <v>35350</v>
      </c>
      <c r="E8" s="8" t="n">
        <v>35703.5</v>
      </c>
      <c r="F8" s="8" t="n">
        <v>36060.5</v>
      </c>
      <c r="G8" s="8" t="n">
        <v>36421.1</v>
      </c>
      <c r="H8" s="8" t="n">
        <v>36785.4</v>
      </c>
      <c r="I8" s="8" t="n">
        <v>37153.2</v>
      </c>
      <c r="J8" s="8" t="n">
        <v>37524.7</v>
      </c>
    </row>
    <row r="9">
      <c r="A9" s="7">
        <f>IF(Commodities!B9="","",Commodities!B9)</f>
        <v/>
      </c>
      <c r="B9" s="7">
        <f>IF(Commodities!D9="","",Commodities!D9)</f>
        <v/>
      </c>
      <c r="C9" s="8" t="n">
        <v>400000</v>
      </c>
      <c r="D9" s="8" t="n">
        <v>408000</v>
      </c>
      <c r="E9" s="8" t="n">
        <v>416160</v>
      </c>
      <c r="F9" s="8" t="n">
        <v>424483.2</v>
      </c>
      <c r="G9" s="8" t="n">
        <v>432972.9</v>
      </c>
      <c r="H9" s="8" t="n">
        <v>441632.3</v>
      </c>
      <c r="I9" s="8" t="n">
        <v>450465</v>
      </c>
      <c r="J9" s="8" t="n">
        <v>459474.3</v>
      </c>
    </row>
    <row r="10">
      <c r="A10" s="7">
        <f>IF(Commodities!B10="","",Commodities!B10)</f>
        <v/>
      </c>
      <c r="B10" s="7">
        <f>IF(Commodities!D10="","",Commodities!D10)</f>
        <v/>
      </c>
      <c r="C10" s="8" t="n">
        <v>120000</v>
      </c>
      <c r="D10" s="8" t="n">
        <v>122400</v>
      </c>
      <c r="E10" s="8" t="n">
        <v>124848</v>
      </c>
      <c r="F10" s="8" t="n">
        <v>127345</v>
      </c>
      <c r="G10" s="8" t="n">
        <v>129891.9</v>
      </c>
      <c r="H10" s="8" t="n">
        <v>132489.7</v>
      </c>
      <c r="I10" s="8" t="n">
        <v>135139.5</v>
      </c>
      <c r="J10" s="8" t="n">
        <v>137842.3</v>
      </c>
    </row>
    <row r="11">
      <c r="A11" s="7">
        <f>IF(Commodities!B11="","",Commodities!B11)</f>
        <v/>
      </c>
      <c r="B11" s="7">
        <f>IF(Commodities!D11="","",Commodities!D11)</f>
        <v/>
      </c>
      <c r="C11" s="8" t="n">
        <v>48000</v>
      </c>
      <c r="D11" s="8" t="n">
        <v>48480</v>
      </c>
      <c r="E11" s="8" t="n">
        <v>48964.8</v>
      </c>
      <c r="F11" s="8" t="n">
        <v>49454.4</v>
      </c>
      <c r="G11" s="8" t="n">
        <v>49949</v>
      </c>
      <c r="H11" s="8" t="n">
        <v>50448.5</v>
      </c>
      <c r="I11" s="8" t="n">
        <v>50953</v>
      </c>
      <c r="J11" s="8" t="n">
        <v>51462.5</v>
      </c>
    </row>
    <row r="12">
      <c r="A12" s="7">
        <f>IF(Commodities!B12="","",Commodities!B12)</f>
        <v/>
      </c>
      <c r="B12" s="7">
        <f>IF(Commodities!D12="","",Commodities!D12)</f>
        <v/>
      </c>
      <c r="C12" s="8" t="n">
        <v>9500</v>
      </c>
      <c r="D12" s="8" t="n">
        <v>9975</v>
      </c>
      <c r="E12" s="8" t="n">
        <v>10473.8</v>
      </c>
      <c r="F12" s="8" t="n">
        <v>10997.4</v>
      </c>
      <c r="G12" s="8" t="n">
        <v>11547.3</v>
      </c>
      <c r="H12" s="8" t="n">
        <v>12124.7</v>
      </c>
      <c r="I12" s="8" t="n">
        <v>12730.9</v>
      </c>
      <c r="J12" s="8" t="n">
        <v>13367.5</v>
      </c>
    </row>
    <row r="13">
      <c r="A13" s="7">
        <f>IF(Commodities!B13="","",Commodities!B13)</f>
        <v/>
      </c>
      <c r="B13" s="7">
        <f>IF(Commodities!D13="","",Commodities!D13)</f>
        <v/>
      </c>
      <c r="C13" s="8" t="n">
        <v>180000</v>
      </c>
      <c r="D13" s="8" t="n">
        <v>183600</v>
      </c>
      <c r="E13" s="8" t="n">
        <v>187272</v>
      </c>
      <c r="F13" s="8" t="n">
        <v>191017.4</v>
      </c>
      <c r="G13" s="8" t="n">
        <v>194837.8</v>
      </c>
      <c r="H13" s="8" t="n">
        <v>198734.5</v>
      </c>
      <c r="I13" s="8" t="n">
        <v>202709.2</v>
      </c>
      <c r="J13" s="8" t="n">
        <v>206763.4</v>
      </c>
    </row>
    <row r="14">
      <c r="A14" s="7">
        <f>IF(Commodities!B14="","",Commodities!B14)</f>
        <v/>
      </c>
      <c r="B14" s="7">
        <f>IF(Commodities!D14="","",Commodities!D14)</f>
        <v/>
      </c>
      <c r="C14" s="8" t="n">
        <v>2400000</v>
      </c>
      <c r="D14" s="8" t="n">
        <v>2472000</v>
      </c>
      <c r="E14" s="8" t="n">
        <v>2546160</v>
      </c>
      <c r="F14" s="8" t="n">
        <v>2622544.8</v>
      </c>
      <c r="G14" s="8" t="n">
        <v>2701221.1</v>
      </c>
      <c r="H14" s="8" t="n">
        <v>2782257.8</v>
      </c>
      <c r="I14" s="8" t="n">
        <v>2865725.5</v>
      </c>
      <c r="J14" s="8" t="n">
        <v>2951697.3</v>
      </c>
    </row>
    <row r="15">
      <c r="A15" s="7">
        <f>IF(Commodities!B15="","",Commodities!B15)</f>
        <v/>
      </c>
      <c r="B15" s="7">
        <f>IF(Commodities!D15="","",Commodities!D15)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>
        <f>IF(Commodities!B16="","",Commodities!B16)</f>
        <v/>
      </c>
      <c r="B16" s="7">
        <f>IF(Commodities!D16="","",Commodities!D16)</f>
        <v/>
      </c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7">
        <f>IF(Commodities!B17="","",Commodities!B17)</f>
        <v/>
      </c>
      <c r="B17" s="7">
        <f>IF(Commodities!D17="","",Commodities!D17)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7">
        <f>IF(Commodities!B18="","",Commodities!B18)</f>
        <v/>
      </c>
      <c r="B18" s="7">
        <f>IF(Commodities!D18="","",Commodities!D18)</f>
        <v/>
      </c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7">
        <f>IF(Commodities!B19="","",Commodities!B19)</f>
        <v/>
      </c>
      <c r="B19" s="7">
        <f>IF(Commodities!D19="","",Commodities!D19)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7">
        <f>IF(Commodities!B20="","",Commodities!B20)</f>
        <v/>
      </c>
      <c r="B20" s="7">
        <f>IF(Commodities!D20="","",Commodities!D20)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7">
        <f>IF(Commodities!B21="","",Commodities!B21)</f>
        <v/>
      </c>
      <c r="B21" s="7">
        <f>IF(Commodities!D21="","",Commodities!D21)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7">
        <f>IF(Commodities!B22="","",Commodities!B22)</f>
        <v/>
      </c>
      <c r="B22" s="7">
        <f>IF(Commodities!D22="","",Commodities!D22)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7">
        <f>IF(Commodities!B23="","",Commodities!B23)</f>
        <v/>
      </c>
      <c r="B23" s="7">
        <f>IF(Commodities!D23="","",Commodities!D23)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7">
        <f>IF(Commodities!B24="","",Commodities!B24)</f>
        <v/>
      </c>
      <c r="B24" s="7">
        <f>IF(Commodities!D24="","",Commodities!D24)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7">
        <f>IF(Commodities!B25="","",Commodities!B25)</f>
        <v/>
      </c>
      <c r="B25" s="7">
        <f>IF(Commodities!D25="","",Commodities!D25)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7">
        <f>IF(Commodities!B26="","",Commodities!B26)</f>
        <v/>
      </c>
      <c r="B26" s="7">
        <f>IF(Commodities!D26="","",Commodities!D26)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7">
        <f>IF(Commodities!B27="","",Commodities!B27)</f>
        <v/>
      </c>
      <c r="B27" s="7">
        <f>IF(Commodities!D27="","",Commodities!D27)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7">
        <f>IF(Commodities!B28="","",Commodities!B28)</f>
        <v/>
      </c>
      <c r="B28" s="7">
        <f>IF(Commodities!D28="","",Commodities!D28)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7">
        <f>IF(Commodities!B29="","",Commodities!B29)</f>
        <v/>
      </c>
      <c r="B29" s="7">
        <f>IF(Commodities!D29="","",Commodities!D29)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7">
        <f>IF(Commodities!B30="","",Commodities!B30)</f>
        <v/>
      </c>
      <c r="B30" s="7">
        <f>IF(Commodities!D30="","",Commodities!D30)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7">
        <f>IF(Commodities!B31="","",Commodities!B31)</f>
        <v/>
      </c>
      <c r="B31" s="7">
        <f>IF(Commodities!D31="","",Commodities!D31)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7">
        <f>IF(Commodities!B32="","",Commodities!B32)</f>
        <v/>
      </c>
      <c r="B32" s="7">
        <f>IF(Commodities!D32="","",Commodities!D32)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7">
        <f>IF(Commodities!B33="","",Commodities!B33)</f>
        <v/>
      </c>
      <c r="B33" s="7">
        <f>IF(Commodities!D33="","",Commodities!D33)</f>
        <v/>
      </c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7">
        <f>IF(Commodities!B34="","",Commodities!B34)</f>
        <v/>
      </c>
      <c r="B34" s="7">
        <f>IF(Commodities!D34="","",Commodities!D34)</f>
        <v/>
      </c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7">
        <f>IF(Commodities!B35="","",Commodities!B35)</f>
        <v/>
      </c>
      <c r="B35" s="7">
        <f>IF(Commodities!D35="","",Commodities!D35)</f>
        <v/>
      </c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7">
        <f>IF(Commodities!B36="","",Commodities!B36)</f>
        <v/>
      </c>
      <c r="B36" s="7">
        <f>IF(Commodities!D36="","",Commodities!D36)</f>
        <v/>
      </c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7">
        <f>IF(Commodities!B37="","",Commodities!B37)</f>
        <v/>
      </c>
      <c r="B37" s="7">
        <f>IF(Commodities!D37="","",Commodities!D37)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7">
        <f>IF(Commodities!B38="","",Commodities!B38)</f>
        <v/>
      </c>
      <c r="B38" s="7">
        <f>IF(Commodities!D38="","",Commodities!D38)</f>
        <v/>
      </c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7">
        <f>IF(Commodities!B39="","",Commodities!B39)</f>
        <v/>
      </c>
      <c r="B39" s="7">
        <f>IF(Commodities!D39="","",Commodities!D39)</f>
        <v/>
      </c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7">
        <f>IF(Commodities!B40="","",Commodities!B40)</f>
        <v/>
      </c>
      <c r="B40" s="7">
        <f>IF(Commodities!D40="","",Commodities!D40)</f>
        <v/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7">
        <f>IF(Commodities!B41="","",Commodities!B41)</f>
        <v/>
      </c>
      <c r="B41" s="7">
        <f>IF(Commodities!D41="","",Commodities!D41)</f>
        <v/>
      </c>
      <c r="C41" s="8" t="n"/>
      <c r="D41" s="8" t="n"/>
      <c r="E41" s="8" t="n"/>
      <c r="F41" s="8" t="n"/>
      <c r="G41" s="8" t="n"/>
      <c r="H41" s="8" t="n"/>
      <c r="I41" s="8" t="n"/>
      <c r="J4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5" t="inlineStr">
        <is>
          <t>Commodity</t>
        </is>
      </c>
      <c r="B1" s="5" t="inlineStr">
        <is>
          <t>Unit</t>
        </is>
      </c>
      <c r="C1" s="5">
        <f>Production!C$1</f>
        <v/>
      </c>
      <c r="D1" s="5">
        <f>Production!D$1</f>
        <v/>
      </c>
      <c r="E1" s="5">
        <f>Production!E$1</f>
        <v/>
      </c>
      <c r="F1" s="5">
        <f>Production!F$1</f>
        <v/>
      </c>
      <c r="G1" s="5">
        <f>Production!G$1</f>
        <v/>
      </c>
      <c r="H1" s="5">
        <f>Production!H$1</f>
        <v/>
      </c>
      <c r="I1" s="5">
        <f>Production!I$1</f>
        <v/>
      </c>
      <c r="J1" s="5">
        <f>Production!J$1</f>
        <v/>
      </c>
    </row>
    <row r="2">
      <c r="A2" s="7">
        <f>IF(Commodities!B2="","",Commodities!B2)</f>
        <v/>
      </c>
      <c r="B2" s="7">
        <f>IF(Commodities!D2="","",Commodities!D2)</f>
        <v/>
      </c>
      <c r="C2" s="9" t="n">
        <v>2100</v>
      </c>
      <c r="D2" s="9" t="n">
        <v>2226</v>
      </c>
      <c r="E2" s="9" t="n">
        <v>2359.56</v>
      </c>
      <c r="F2" s="9" t="n">
        <v>2501.13</v>
      </c>
      <c r="G2" s="9" t="n">
        <v>2651.2</v>
      </c>
      <c r="H2" s="9" t="n">
        <v>2810.27</v>
      </c>
      <c r="I2" s="9" t="n">
        <v>2978.89</v>
      </c>
      <c r="J2" s="9" t="n">
        <v>3157.62</v>
      </c>
    </row>
    <row r="3">
      <c r="A3" s="7">
        <f>IF(Commodities!B3="","",Commodities!B3)</f>
        <v/>
      </c>
      <c r="B3" s="7">
        <f>IF(Commodities!D3="","",Commodities!D3)</f>
        <v/>
      </c>
      <c r="C3" s="9" t="n">
        <v>3400</v>
      </c>
      <c r="D3" s="9" t="n">
        <v>3570</v>
      </c>
      <c r="E3" s="9" t="n">
        <v>3748.5</v>
      </c>
      <c r="F3" s="9" t="n">
        <v>3935.93</v>
      </c>
      <c r="G3" s="9" t="n">
        <v>4132.72</v>
      </c>
      <c r="H3" s="9" t="n">
        <v>4339.36</v>
      </c>
      <c r="I3" s="9" t="n">
        <v>4556.33</v>
      </c>
      <c r="J3" s="9" t="n">
        <v>4784.14</v>
      </c>
    </row>
    <row r="4">
      <c r="A4" s="7">
        <f>IF(Commodities!B4="","",Commodities!B4)</f>
        <v/>
      </c>
      <c r="B4" s="7">
        <f>IF(Commodities!D4="","",Commodities!D4)</f>
        <v/>
      </c>
      <c r="C4" s="9" t="n">
        <v>1500</v>
      </c>
      <c r="D4" s="9" t="n">
        <v>1560</v>
      </c>
      <c r="E4" s="9" t="n">
        <v>1622.4</v>
      </c>
      <c r="F4" s="9" t="n">
        <v>1687.3</v>
      </c>
      <c r="G4" s="9" t="n">
        <v>1754.79</v>
      </c>
      <c r="H4" s="9" t="n">
        <v>1824.98</v>
      </c>
      <c r="I4" s="9" t="n">
        <v>1897.98</v>
      </c>
      <c r="J4" s="9" t="n">
        <v>1973.9</v>
      </c>
    </row>
    <row r="5">
      <c r="A5" s="7">
        <f>IF(Commodities!B5="","",Commodities!B5)</f>
        <v/>
      </c>
      <c r="B5" s="7">
        <f>IF(Commodities!D5="","",Commodities!D5)</f>
        <v/>
      </c>
      <c r="C5" s="9" t="n">
        <v>800</v>
      </c>
      <c r="D5" s="9" t="n">
        <v>840</v>
      </c>
      <c r="E5" s="9" t="n">
        <v>882</v>
      </c>
      <c r="F5" s="9" t="n">
        <v>926.1</v>
      </c>
      <c r="G5" s="9" t="n">
        <v>972.41</v>
      </c>
      <c r="H5" s="9" t="n">
        <v>1021.03</v>
      </c>
      <c r="I5" s="9" t="n">
        <v>1072.08</v>
      </c>
      <c r="J5" s="9" t="n">
        <v>1125.68</v>
      </c>
    </row>
    <row r="6">
      <c r="A6" s="7">
        <f>IF(Commodities!B6="","",Commodities!B6)</f>
        <v/>
      </c>
      <c r="B6" s="7">
        <f>IF(Commodities!D6="","",Commodities!D6)</f>
        <v/>
      </c>
      <c r="C6" s="9" t="n">
        <v>450</v>
      </c>
      <c r="D6" s="9" t="n">
        <v>468</v>
      </c>
      <c r="E6" s="9" t="n">
        <v>486.72</v>
      </c>
      <c r="F6" s="9" t="n">
        <v>506.19</v>
      </c>
      <c r="G6" s="9" t="n">
        <v>526.4400000000001</v>
      </c>
      <c r="H6" s="9" t="n">
        <v>547.49</v>
      </c>
      <c r="I6" s="9" t="n">
        <v>569.39</v>
      </c>
      <c r="J6" s="9" t="n">
        <v>592.17</v>
      </c>
    </row>
    <row r="7">
      <c r="A7" s="7">
        <f>IF(Commodities!B7="","",Commodities!B7)</f>
        <v/>
      </c>
      <c r="B7" s="7">
        <f>IF(Commodities!D7="","",Commodities!D7)</f>
        <v/>
      </c>
      <c r="C7" s="9" t="n">
        <v>320</v>
      </c>
      <c r="D7" s="9" t="n">
        <v>332.8</v>
      </c>
      <c r="E7" s="9" t="n">
        <v>346.11</v>
      </c>
      <c r="F7" s="9" t="n">
        <v>359.96</v>
      </c>
      <c r="G7" s="9" t="n">
        <v>374.35</v>
      </c>
      <c r="H7" s="9" t="n">
        <v>389.33</v>
      </c>
      <c r="I7" s="9" t="n">
        <v>404.9</v>
      </c>
      <c r="J7" s="9" t="n">
        <v>421.1</v>
      </c>
    </row>
    <row r="8">
      <c r="A8" s="7">
        <f>IF(Commodities!B8="","",Commodities!B8)</f>
        <v/>
      </c>
      <c r="B8" s="7">
        <f>IF(Commodities!D8="","",Commodities!D8)</f>
        <v/>
      </c>
      <c r="C8" s="9" t="n">
        <v>900</v>
      </c>
      <c r="D8" s="9" t="n">
        <v>945</v>
      </c>
      <c r="E8" s="9" t="n">
        <v>992.25</v>
      </c>
      <c r="F8" s="9" t="n">
        <v>1041.86</v>
      </c>
      <c r="G8" s="9" t="n">
        <v>1093.96</v>
      </c>
      <c r="H8" s="9" t="n">
        <v>1148.65</v>
      </c>
      <c r="I8" s="9" t="n">
        <v>1206.09</v>
      </c>
      <c r="J8" s="9" t="n">
        <v>1266.39</v>
      </c>
    </row>
    <row r="9">
      <c r="A9" s="7">
        <f>IF(Commodities!B9="","",Commodities!B9)</f>
        <v/>
      </c>
      <c r="B9" s="7">
        <f>IF(Commodities!D9="","",Commodities!D9)</f>
        <v/>
      </c>
      <c r="C9" s="9" t="n">
        <v>95</v>
      </c>
      <c r="D9" s="9" t="n">
        <v>97.84999999999999</v>
      </c>
      <c r="E9" s="9" t="n">
        <v>100.79</v>
      </c>
      <c r="F9" s="9" t="n">
        <v>103.81</v>
      </c>
      <c r="G9" s="9" t="n">
        <v>106.92</v>
      </c>
      <c r="H9" s="9" t="n">
        <v>110.13</v>
      </c>
      <c r="I9" s="9" t="n">
        <v>113.43</v>
      </c>
      <c r="J9" s="9" t="n">
        <v>116.84</v>
      </c>
    </row>
    <row r="10">
      <c r="A10" s="7">
        <f>IF(Commodities!B10="","",Commodities!B10)</f>
        <v/>
      </c>
      <c r="B10" s="7">
        <f>IF(Commodities!D10="","",Commodities!D10)</f>
        <v/>
      </c>
      <c r="C10" s="9" t="n">
        <v>260</v>
      </c>
      <c r="D10" s="9" t="n">
        <v>270.4</v>
      </c>
      <c r="E10" s="9" t="n">
        <v>281.22</v>
      </c>
      <c r="F10" s="9" t="n">
        <v>292.46</v>
      </c>
      <c r="G10" s="9" t="n">
        <v>304.16</v>
      </c>
      <c r="H10" s="9" t="n">
        <v>316.33</v>
      </c>
      <c r="I10" s="9" t="n">
        <v>328.98</v>
      </c>
      <c r="J10" s="9" t="n">
        <v>342.14</v>
      </c>
    </row>
    <row r="11">
      <c r="A11" s="7">
        <f>IF(Commodities!B11="","",Commodities!B11)</f>
        <v/>
      </c>
      <c r="B11" s="7">
        <f>IF(Commodities!D11="","",Commodities!D11)</f>
        <v/>
      </c>
      <c r="C11" s="9" t="n">
        <v>1900</v>
      </c>
      <c r="D11" s="9" t="n">
        <v>1995</v>
      </c>
      <c r="E11" s="9" t="n">
        <v>2094.75</v>
      </c>
      <c r="F11" s="9" t="n">
        <v>2199.49</v>
      </c>
      <c r="G11" s="9" t="n">
        <v>2309.46</v>
      </c>
      <c r="H11" s="9" t="n">
        <v>2424.93</v>
      </c>
      <c r="I11" s="9" t="n">
        <v>2546.18</v>
      </c>
      <c r="J11" s="9" t="n">
        <v>2673.49</v>
      </c>
    </row>
    <row r="12">
      <c r="A12" s="7">
        <f>IF(Commodities!B12="","",Commodities!B12)</f>
        <v/>
      </c>
      <c r="B12" s="7">
        <f>IF(Commodities!D12="","",Commodities!D12)</f>
        <v/>
      </c>
      <c r="C12" s="9" t="n">
        <v>58000</v>
      </c>
      <c r="D12" s="9" t="n">
        <v>62640</v>
      </c>
      <c r="E12" s="9" t="n">
        <v>67651.2</v>
      </c>
      <c r="F12" s="9" t="n">
        <v>73063.3</v>
      </c>
      <c r="G12" s="9" t="n">
        <v>78908.36</v>
      </c>
      <c r="H12" s="9" t="n">
        <v>85221.03</v>
      </c>
      <c r="I12" s="9" t="n">
        <v>92038.71000000001</v>
      </c>
      <c r="J12" s="9" t="n">
        <v>99401.81</v>
      </c>
    </row>
    <row r="13">
      <c r="A13" s="7">
        <f>IF(Commodities!B13="","",Commodities!B13)</f>
        <v/>
      </c>
      <c r="B13" s="7">
        <f>IF(Commodities!D13="","",Commodities!D13)</f>
        <v/>
      </c>
      <c r="C13" s="9" t="n">
        <v>210</v>
      </c>
      <c r="D13" s="9" t="n">
        <v>222.6</v>
      </c>
      <c r="E13" s="9" t="n">
        <v>235.96</v>
      </c>
      <c r="F13" s="9" t="n">
        <v>250.11</v>
      </c>
      <c r="G13" s="9" t="n">
        <v>265.12</v>
      </c>
      <c r="H13" s="9" t="n">
        <v>281.03</v>
      </c>
      <c r="I13" s="9" t="n">
        <v>297.89</v>
      </c>
      <c r="J13" s="9" t="n">
        <v>315.76</v>
      </c>
    </row>
    <row r="14">
      <c r="A14" s="7">
        <f>IF(Commodities!B14="","",Commodities!B14)</f>
        <v/>
      </c>
      <c r="B14" s="7">
        <f>IF(Commodities!D14="","",Commodities!D14)</f>
        <v/>
      </c>
      <c r="C14" s="9" t="n">
        <v>75</v>
      </c>
      <c r="D14" s="9" t="n">
        <v>78.75</v>
      </c>
      <c r="E14" s="9" t="n">
        <v>82.69</v>
      </c>
      <c r="F14" s="9" t="n">
        <v>86.81999999999999</v>
      </c>
      <c r="G14" s="9" t="n">
        <v>91.16</v>
      </c>
      <c r="H14" s="9" t="n">
        <v>95.72</v>
      </c>
      <c r="I14" s="9" t="n">
        <v>100.51</v>
      </c>
      <c r="J14" s="9" t="n">
        <v>105.53</v>
      </c>
    </row>
    <row r="15">
      <c r="A15" s="7">
        <f>IF(Commodities!B15="","",Commodities!B15)</f>
        <v/>
      </c>
      <c r="B15" s="7">
        <f>IF(Commodities!D15="","",Commodities!D15)</f>
        <v/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7">
        <f>IF(Commodities!B16="","",Commodities!B16)</f>
        <v/>
      </c>
      <c r="B16" s="7">
        <f>IF(Commodities!D16="","",Commodities!D16)</f>
        <v/>
      </c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7">
        <f>IF(Commodities!B17="","",Commodities!B17)</f>
        <v/>
      </c>
      <c r="B17" s="7">
        <f>IF(Commodities!D17="","",Commodities!D17)</f>
        <v/>
      </c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7">
        <f>IF(Commodities!B18="","",Commodities!B18)</f>
        <v/>
      </c>
      <c r="B18" s="7">
        <f>IF(Commodities!D18="","",Commodities!D18)</f>
        <v/>
      </c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7">
        <f>IF(Commodities!B19="","",Commodities!B19)</f>
        <v/>
      </c>
      <c r="B19" s="7">
        <f>IF(Commodities!D19="","",Commodities!D19)</f>
        <v/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7">
        <f>IF(Commodities!B20="","",Commodities!B20)</f>
        <v/>
      </c>
      <c r="B20" s="7">
        <f>IF(Commodities!D20="","",Commodities!D20)</f>
        <v/>
      </c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7">
        <f>IF(Commodities!B21="","",Commodities!B21)</f>
        <v/>
      </c>
      <c r="B21" s="7">
        <f>IF(Commodities!D21="","",Commodities!D21)</f>
        <v/>
      </c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7">
        <f>IF(Commodities!B22="","",Commodities!B22)</f>
        <v/>
      </c>
      <c r="B22" s="7">
        <f>IF(Commodities!D22="","",Commodities!D22)</f>
        <v/>
      </c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7">
        <f>IF(Commodities!B23="","",Commodities!B23)</f>
        <v/>
      </c>
      <c r="B23" s="7">
        <f>IF(Commodities!D23="","",Commodities!D23)</f>
        <v/>
      </c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7">
        <f>IF(Commodities!B24="","",Commodities!B24)</f>
        <v/>
      </c>
      <c r="B24" s="7">
        <f>IF(Commodities!D24="","",Commodities!D24)</f>
        <v/>
      </c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7">
        <f>IF(Commodities!B25="","",Commodities!B25)</f>
        <v/>
      </c>
      <c r="B25" s="7">
        <f>IF(Commodities!D25="","",Commodities!D25)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7">
        <f>IF(Commodities!B26="","",Commodities!B26)</f>
        <v/>
      </c>
      <c r="B26" s="7">
        <f>IF(Commodities!D26="","",Commodities!D26)</f>
        <v/>
      </c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7">
        <f>IF(Commodities!B27="","",Commodities!B27)</f>
        <v/>
      </c>
      <c r="B27" s="7">
        <f>IF(Commodities!D27="","",Commodities!D27)</f>
        <v/>
      </c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7">
        <f>IF(Commodities!B28="","",Commodities!B28)</f>
        <v/>
      </c>
      <c r="B28" s="7">
        <f>IF(Commodities!D28="","",Commodities!D28)</f>
        <v/>
      </c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7">
        <f>IF(Commodities!B29="","",Commodities!B29)</f>
        <v/>
      </c>
      <c r="B29" s="7">
        <f>IF(Commodities!D29="","",Commodities!D29)</f>
        <v/>
      </c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7">
        <f>IF(Commodities!B30="","",Commodities!B30)</f>
        <v/>
      </c>
      <c r="B30" s="7">
        <f>IF(Commodities!D30="","",Commodities!D30)</f>
        <v/>
      </c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7">
        <f>IF(Commodities!B31="","",Commodities!B31)</f>
        <v/>
      </c>
      <c r="B31" s="7">
        <f>IF(Commodities!D31="","",Commodities!D31)</f>
        <v/>
      </c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7">
        <f>IF(Commodities!B32="","",Commodities!B32)</f>
        <v/>
      </c>
      <c r="B32" s="7">
        <f>IF(Commodities!D32="","",Commodities!D32)</f>
        <v/>
      </c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7">
        <f>IF(Commodities!B33="","",Commodities!B33)</f>
        <v/>
      </c>
      <c r="B33" s="7">
        <f>IF(Commodities!D33="","",Commodities!D33)</f>
        <v/>
      </c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7">
        <f>IF(Commodities!B34="","",Commodities!B34)</f>
        <v/>
      </c>
      <c r="B34" s="7">
        <f>IF(Commodities!D34="","",Commodities!D34)</f>
        <v/>
      </c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7">
        <f>IF(Commodities!B35="","",Commodities!B35)</f>
        <v/>
      </c>
      <c r="B35" s="7">
        <f>IF(Commodities!D35="","",Commodities!D35)</f>
        <v/>
      </c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7">
        <f>IF(Commodities!B36="","",Commodities!B36)</f>
        <v/>
      </c>
      <c r="B36" s="7">
        <f>IF(Commodities!D36="","",Commodities!D36)</f>
        <v/>
      </c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7">
        <f>IF(Commodities!B37="","",Commodities!B37)</f>
        <v/>
      </c>
      <c r="B37" s="7">
        <f>IF(Commodities!D37="","",Commodities!D37)</f>
        <v/>
      </c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7">
        <f>IF(Commodities!B38="","",Commodities!B38)</f>
        <v/>
      </c>
      <c r="B38" s="7">
        <f>IF(Commodities!D38="","",Commodities!D38)</f>
        <v/>
      </c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7">
        <f>IF(Commodities!B39="","",Commodities!B39)</f>
        <v/>
      </c>
      <c r="B39" s="7">
        <f>IF(Commodities!D39="","",Commodities!D39)</f>
        <v/>
      </c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7">
        <f>IF(Commodities!B40="","",Commodities!B40)</f>
        <v/>
      </c>
      <c r="B40" s="7">
        <f>IF(Commodities!D40="","",Commodities!D40)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7">
        <f>IF(Commodities!B41="","",Commodities!B41)</f>
        <v/>
      </c>
      <c r="B41" s="7">
        <f>IF(Commodities!D41="","",Commodities!D41)</f>
        <v/>
      </c>
      <c r="C41" s="9" t="n"/>
      <c r="D41" s="9" t="n"/>
      <c r="E41" s="9" t="n"/>
      <c r="F41" s="9" t="n"/>
      <c r="G41" s="9" t="n"/>
      <c r="H41" s="9" t="n"/>
      <c r="I41" s="9" t="n"/>
      <c r="J41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OTHER INDUSTRIES — GVA entered directly (no commodity detail)</t>
        </is>
      </c>
    </row>
    <row r="3">
      <c r="A3" s="5" t="inlineStr">
        <is>
          <t>Nominal GVA (current prices)</t>
        </is>
      </c>
      <c r="B3" s="5" t="n"/>
      <c r="C3" s="5">
        <f>Production!C$1</f>
        <v/>
      </c>
      <c r="D3" s="5">
        <f>Production!D$1</f>
        <v/>
      </c>
      <c r="E3" s="5">
        <f>Production!E$1</f>
        <v/>
      </c>
      <c r="F3" s="5">
        <f>Production!F$1</f>
        <v/>
      </c>
      <c r="G3" s="5">
        <f>Production!G$1</f>
        <v/>
      </c>
      <c r="H3" s="5">
        <f>Production!H$1</f>
        <v/>
      </c>
      <c r="I3" s="5">
        <f>Production!I$1</f>
        <v/>
      </c>
      <c r="J3" s="5">
        <f>Production!J$1</f>
        <v/>
      </c>
    </row>
    <row r="4">
      <c r="A4" s="3" t="inlineStr">
        <is>
          <t>Manufacturing</t>
        </is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inlineStr">
        <is>
          <t>Electricity &amp; Water</t>
        </is>
      </c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3" t="inlineStr">
        <is>
          <t>Construction</t>
        </is>
      </c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inlineStr">
        <is>
          <t>Wholesale &amp; Retail Trade</t>
        </is>
      </c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3" t="inlineStr">
        <is>
          <t>Transport &amp; Storage</t>
        </is>
      </c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inlineStr">
        <is>
          <t>Accommodation &amp; Food Services</t>
        </is>
      </c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3" t="inlineStr">
        <is>
          <t>Information &amp; Communication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inlineStr">
        <is>
          <t>Financial &amp; Insurance Services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3" t="inlineStr">
        <is>
          <t>Real Estate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inlineStr">
        <is>
          <t>Public Administration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3" t="inlineStr">
        <is>
          <t>Education &amp; Health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inlineStr">
        <is>
          <t>Other Services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</row>
    <row r="18">
      <c r="A18" s="5" t="inlineStr">
        <is>
          <t>Real GVA (constant base-year prices)</t>
        </is>
      </c>
      <c r="B18" s="5" t="n"/>
      <c r="C18" s="5">
        <f>Production!C$1</f>
        <v/>
      </c>
      <c r="D18" s="5">
        <f>Production!D$1</f>
        <v/>
      </c>
      <c r="E18" s="5">
        <f>Production!E$1</f>
        <v/>
      </c>
      <c r="F18" s="5">
        <f>Production!F$1</f>
        <v/>
      </c>
      <c r="G18" s="5">
        <f>Production!G$1</f>
        <v/>
      </c>
      <c r="H18" s="5">
        <f>Production!H$1</f>
        <v/>
      </c>
      <c r="I18" s="5">
        <f>Production!I$1</f>
        <v/>
      </c>
      <c r="J18" s="5">
        <f>Production!J$1</f>
        <v/>
      </c>
    </row>
    <row r="19">
      <c r="A19" s="7">
        <f>A4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7">
        <f>A5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7">
        <f>A6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7">
        <f>A7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7">
        <f>A8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7">
        <f>A9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7">
        <f>A10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7">
        <f>A11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7">
        <f>A12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7">
        <f>A13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7">
        <f>A14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7">
        <f>A15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Commodity</t>
        </is>
      </c>
      <c r="B1" s="5" t="inlineStr">
        <is>
          <t>Sector</t>
        </is>
      </c>
      <c r="C1" s="5">
        <f>Production!C$1</f>
        <v/>
      </c>
      <c r="D1" s="5">
        <f>Production!D$1</f>
        <v/>
      </c>
      <c r="E1" s="5">
        <f>Production!E$1</f>
        <v/>
      </c>
      <c r="F1" s="5">
        <f>Production!F$1</f>
        <v/>
      </c>
      <c r="G1" s="5">
        <f>Production!G$1</f>
        <v/>
      </c>
      <c r="H1" s="5">
        <f>Production!H$1</f>
        <v/>
      </c>
      <c r="I1" s="5">
        <f>Production!I$1</f>
        <v/>
      </c>
      <c r="J1" s="5">
        <f>Production!J$1</f>
        <v/>
      </c>
    </row>
    <row r="2">
      <c r="A2" s="7">
        <f>IF(Commodities!B2="","",Commodities!B2)</f>
        <v/>
      </c>
      <c r="B2" s="7">
        <f>IF(Commodities!C2="","",Commodities!C2)</f>
        <v/>
      </c>
      <c r="C2" s="10">
        <f>IF(OR($A2="",Production!C2="",Prices!C2=""),"",Production!C2*Prices!C2*(1-Commodities!$E2))</f>
        <v/>
      </c>
      <c r="D2" s="10">
        <f>IF(OR($A2="",Production!D2="",Prices!D2=""),"",Production!D2*Prices!D2*(1-Commodities!$E2))</f>
        <v/>
      </c>
      <c r="E2" s="10">
        <f>IF(OR($A2="",Production!E2="",Prices!E2=""),"",Production!E2*Prices!E2*(1-Commodities!$E2))</f>
        <v/>
      </c>
      <c r="F2" s="10">
        <f>IF(OR($A2="",Production!F2="",Prices!F2=""),"",Production!F2*Prices!F2*(1-Commodities!$E2))</f>
        <v/>
      </c>
      <c r="G2" s="10">
        <f>IF(OR($A2="",Production!G2="",Prices!G2=""),"",Production!G2*Prices!G2*(1-Commodities!$E2))</f>
        <v/>
      </c>
      <c r="H2" s="10">
        <f>IF(OR($A2="",Production!H2="",Prices!H2=""),"",Production!H2*Prices!H2*(1-Commodities!$E2))</f>
        <v/>
      </c>
      <c r="I2" s="10">
        <f>IF(OR($A2="",Production!I2="",Prices!I2=""),"",Production!I2*Prices!I2*(1-Commodities!$E2))</f>
        <v/>
      </c>
      <c r="J2" s="10">
        <f>IF(OR($A2="",Production!J2="",Prices!J2=""),"",Production!J2*Prices!J2*(1-Commodities!$E2))</f>
        <v/>
      </c>
    </row>
    <row r="3">
      <c r="A3" s="7">
        <f>IF(Commodities!B3="","",Commodities!B3)</f>
        <v/>
      </c>
      <c r="B3" s="7">
        <f>IF(Commodities!C3="","",Commodities!C3)</f>
        <v/>
      </c>
      <c r="C3" s="10">
        <f>IF(OR($A3="",Production!C3="",Prices!C3=""),"",Production!C3*Prices!C3*(1-Commodities!$E3))</f>
        <v/>
      </c>
      <c r="D3" s="10">
        <f>IF(OR($A3="",Production!D3="",Prices!D3=""),"",Production!D3*Prices!D3*(1-Commodities!$E3))</f>
        <v/>
      </c>
      <c r="E3" s="10">
        <f>IF(OR($A3="",Production!E3="",Prices!E3=""),"",Production!E3*Prices!E3*(1-Commodities!$E3))</f>
        <v/>
      </c>
      <c r="F3" s="10">
        <f>IF(OR($A3="",Production!F3="",Prices!F3=""),"",Production!F3*Prices!F3*(1-Commodities!$E3))</f>
        <v/>
      </c>
      <c r="G3" s="10">
        <f>IF(OR($A3="",Production!G3="",Prices!G3=""),"",Production!G3*Prices!G3*(1-Commodities!$E3))</f>
        <v/>
      </c>
      <c r="H3" s="10">
        <f>IF(OR($A3="",Production!H3="",Prices!H3=""),"",Production!H3*Prices!H3*(1-Commodities!$E3))</f>
        <v/>
      </c>
      <c r="I3" s="10">
        <f>IF(OR($A3="",Production!I3="",Prices!I3=""),"",Production!I3*Prices!I3*(1-Commodities!$E3))</f>
        <v/>
      </c>
      <c r="J3" s="10">
        <f>IF(OR($A3="",Production!J3="",Prices!J3=""),"",Production!J3*Prices!J3*(1-Commodities!$E3))</f>
        <v/>
      </c>
    </row>
    <row r="4">
      <c r="A4" s="7">
        <f>IF(Commodities!B4="","",Commodities!B4)</f>
        <v/>
      </c>
      <c r="B4" s="7">
        <f>IF(Commodities!C4="","",Commodities!C4)</f>
        <v/>
      </c>
      <c r="C4" s="10">
        <f>IF(OR($A4="",Production!C4="",Prices!C4=""),"",Production!C4*Prices!C4*(1-Commodities!$E4))</f>
        <v/>
      </c>
      <c r="D4" s="10">
        <f>IF(OR($A4="",Production!D4="",Prices!D4=""),"",Production!D4*Prices!D4*(1-Commodities!$E4))</f>
        <v/>
      </c>
      <c r="E4" s="10">
        <f>IF(OR($A4="",Production!E4="",Prices!E4=""),"",Production!E4*Prices!E4*(1-Commodities!$E4))</f>
        <v/>
      </c>
      <c r="F4" s="10">
        <f>IF(OR($A4="",Production!F4="",Prices!F4=""),"",Production!F4*Prices!F4*(1-Commodities!$E4))</f>
        <v/>
      </c>
      <c r="G4" s="10">
        <f>IF(OR($A4="",Production!G4="",Prices!G4=""),"",Production!G4*Prices!G4*(1-Commodities!$E4))</f>
        <v/>
      </c>
      <c r="H4" s="10">
        <f>IF(OR($A4="",Production!H4="",Prices!H4=""),"",Production!H4*Prices!H4*(1-Commodities!$E4))</f>
        <v/>
      </c>
      <c r="I4" s="10">
        <f>IF(OR($A4="",Production!I4="",Prices!I4=""),"",Production!I4*Prices!I4*(1-Commodities!$E4))</f>
        <v/>
      </c>
      <c r="J4" s="10">
        <f>IF(OR($A4="",Production!J4="",Prices!J4=""),"",Production!J4*Prices!J4*(1-Commodities!$E4))</f>
        <v/>
      </c>
    </row>
    <row r="5">
      <c r="A5" s="7">
        <f>IF(Commodities!B5="","",Commodities!B5)</f>
        <v/>
      </c>
      <c r="B5" s="7">
        <f>IF(Commodities!C5="","",Commodities!C5)</f>
        <v/>
      </c>
      <c r="C5" s="10">
        <f>IF(OR($A5="",Production!C5="",Prices!C5=""),"",Production!C5*Prices!C5*(1-Commodities!$E5))</f>
        <v/>
      </c>
      <c r="D5" s="10">
        <f>IF(OR($A5="",Production!D5="",Prices!D5=""),"",Production!D5*Prices!D5*(1-Commodities!$E5))</f>
        <v/>
      </c>
      <c r="E5" s="10">
        <f>IF(OR($A5="",Production!E5="",Prices!E5=""),"",Production!E5*Prices!E5*(1-Commodities!$E5))</f>
        <v/>
      </c>
      <c r="F5" s="10">
        <f>IF(OR($A5="",Production!F5="",Prices!F5=""),"",Production!F5*Prices!F5*(1-Commodities!$E5))</f>
        <v/>
      </c>
      <c r="G5" s="10">
        <f>IF(OR($A5="",Production!G5="",Prices!G5=""),"",Production!G5*Prices!G5*(1-Commodities!$E5))</f>
        <v/>
      </c>
      <c r="H5" s="10">
        <f>IF(OR($A5="",Production!H5="",Prices!H5=""),"",Production!H5*Prices!H5*(1-Commodities!$E5))</f>
        <v/>
      </c>
      <c r="I5" s="10">
        <f>IF(OR($A5="",Production!I5="",Prices!I5=""),"",Production!I5*Prices!I5*(1-Commodities!$E5))</f>
        <v/>
      </c>
      <c r="J5" s="10">
        <f>IF(OR($A5="",Production!J5="",Prices!J5=""),"",Production!J5*Prices!J5*(1-Commodities!$E5))</f>
        <v/>
      </c>
    </row>
    <row r="6">
      <c r="A6" s="7">
        <f>IF(Commodities!B6="","",Commodities!B6)</f>
        <v/>
      </c>
      <c r="B6" s="7">
        <f>IF(Commodities!C6="","",Commodities!C6)</f>
        <v/>
      </c>
      <c r="C6" s="10">
        <f>IF(OR($A6="",Production!C6="",Prices!C6=""),"",Production!C6*Prices!C6*(1-Commodities!$E6))</f>
        <v/>
      </c>
      <c r="D6" s="10">
        <f>IF(OR($A6="",Production!D6="",Prices!D6=""),"",Production!D6*Prices!D6*(1-Commodities!$E6))</f>
        <v/>
      </c>
      <c r="E6" s="10">
        <f>IF(OR($A6="",Production!E6="",Prices!E6=""),"",Production!E6*Prices!E6*(1-Commodities!$E6))</f>
        <v/>
      </c>
      <c r="F6" s="10">
        <f>IF(OR($A6="",Production!F6="",Prices!F6=""),"",Production!F6*Prices!F6*(1-Commodities!$E6))</f>
        <v/>
      </c>
      <c r="G6" s="10">
        <f>IF(OR($A6="",Production!G6="",Prices!G6=""),"",Production!G6*Prices!G6*(1-Commodities!$E6))</f>
        <v/>
      </c>
      <c r="H6" s="10">
        <f>IF(OR($A6="",Production!H6="",Prices!H6=""),"",Production!H6*Prices!H6*(1-Commodities!$E6))</f>
        <v/>
      </c>
      <c r="I6" s="10">
        <f>IF(OR($A6="",Production!I6="",Prices!I6=""),"",Production!I6*Prices!I6*(1-Commodities!$E6))</f>
        <v/>
      </c>
      <c r="J6" s="10">
        <f>IF(OR($A6="",Production!J6="",Prices!J6=""),"",Production!J6*Prices!J6*(1-Commodities!$E6))</f>
        <v/>
      </c>
    </row>
    <row r="7">
      <c r="A7" s="7">
        <f>IF(Commodities!B7="","",Commodities!B7)</f>
        <v/>
      </c>
      <c r="B7" s="7">
        <f>IF(Commodities!C7="","",Commodities!C7)</f>
        <v/>
      </c>
      <c r="C7" s="10">
        <f>IF(OR($A7="",Production!C7="",Prices!C7=""),"",Production!C7*Prices!C7*(1-Commodities!$E7))</f>
        <v/>
      </c>
      <c r="D7" s="10">
        <f>IF(OR($A7="",Production!D7="",Prices!D7=""),"",Production!D7*Prices!D7*(1-Commodities!$E7))</f>
        <v/>
      </c>
      <c r="E7" s="10">
        <f>IF(OR($A7="",Production!E7="",Prices!E7=""),"",Production!E7*Prices!E7*(1-Commodities!$E7))</f>
        <v/>
      </c>
      <c r="F7" s="10">
        <f>IF(OR($A7="",Production!F7="",Prices!F7=""),"",Production!F7*Prices!F7*(1-Commodities!$E7))</f>
        <v/>
      </c>
      <c r="G7" s="10">
        <f>IF(OR($A7="",Production!G7="",Prices!G7=""),"",Production!G7*Prices!G7*(1-Commodities!$E7))</f>
        <v/>
      </c>
      <c r="H7" s="10">
        <f>IF(OR($A7="",Production!H7="",Prices!H7=""),"",Production!H7*Prices!H7*(1-Commodities!$E7))</f>
        <v/>
      </c>
      <c r="I7" s="10">
        <f>IF(OR($A7="",Production!I7="",Prices!I7=""),"",Production!I7*Prices!I7*(1-Commodities!$E7))</f>
        <v/>
      </c>
      <c r="J7" s="10">
        <f>IF(OR($A7="",Production!J7="",Prices!J7=""),"",Production!J7*Prices!J7*(1-Commodities!$E7))</f>
        <v/>
      </c>
    </row>
    <row r="8">
      <c r="A8" s="7">
        <f>IF(Commodities!B8="","",Commodities!B8)</f>
        <v/>
      </c>
      <c r="B8" s="7">
        <f>IF(Commodities!C8="","",Commodities!C8)</f>
        <v/>
      </c>
      <c r="C8" s="10">
        <f>IF(OR($A8="",Production!C8="",Prices!C8=""),"",Production!C8*Prices!C8*(1-Commodities!$E8))</f>
        <v/>
      </c>
      <c r="D8" s="10">
        <f>IF(OR($A8="",Production!D8="",Prices!D8=""),"",Production!D8*Prices!D8*(1-Commodities!$E8))</f>
        <v/>
      </c>
      <c r="E8" s="10">
        <f>IF(OR($A8="",Production!E8="",Prices!E8=""),"",Production!E8*Prices!E8*(1-Commodities!$E8))</f>
        <v/>
      </c>
      <c r="F8" s="10">
        <f>IF(OR($A8="",Production!F8="",Prices!F8=""),"",Production!F8*Prices!F8*(1-Commodities!$E8))</f>
        <v/>
      </c>
      <c r="G8" s="10">
        <f>IF(OR($A8="",Production!G8="",Prices!G8=""),"",Production!G8*Prices!G8*(1-Commodities!$E8))</f>
        <v/>
      </c>
      <c r="H8" s="10">
        <f>IF(OR($A8="",Production!H8="",Prices!H8=""),"",Production!H8*Prices!H8*(1-Commodities!$E8))</f>
        <v/>
      </c>
      <c r="I8" s="10">
        <f>IF(OR($A8="",Production!I8="",Prices!I8=""),"",Production!I8*Prices!I8*(1-Commodities!$E8))</f>
        <v/>
      </c>
      <c r="J8" s="10">
        <f>IF(OR($A8="",Production!J8="",Prices!J8=""),"",Production!J8*Prices!J8*(1-Commodities!$E8))</f>
        <v/>
      </c>
    </row>
    <row r="9">
      <c r="A9" s="7">
        <f>IF(Commodities!B9="","",Commodities!B9)</f>
        <v/>
      </c>
      <c r="B9" s="7">
        <f>IF(Commodities!C9="","",Commodities!C9)</f>
        <v/>
      </c>
      <c r="C9" s="10">
        <f>IF(OR($A9="",Production!C9="",Prices!C9=""),"",Production!C9*Prices!C9*(1-Commodities!$E9))</f>
        <v/>
      </c>
      <c r="D9" s="10">
        <f>IF(OR($A9="",Production!D9="",Prices!D9=""),"",Production!D9*Prices!D9*(1-Commodities!$E9))</f>
        <v/>
      </c>
      <c r="E9" s="10">
        <f>IF(OR($A9="",Production!E9="",Prices!E9=""),"",Production!E9*Prices!E9*(1-Commodities!$E9))</f>
        <v/>
      </c>
      <c r="F9" s="10">
        <f>IF(OR($A9="",Production!F9="",Prices!F9=""),"",Production!F9*Prices!F9*(1-Commodities!$E9))</f>
        <v/>
      </c>
      <c r="G9" s="10">
        <f>IF(OR($A9="",Production!G9="",Prices!G9=""),"",Production!G9*Prices!G9*(1-Commodities!$E9))</f>
        <v/>
      </c>
      <c r="H9" s="10">
        <f>IF(OR($A9="",Production!H9="",Prices!H9=""),"",Production!H9*Prices!H9*(1-Commodities!$E9))</f>
        <v/>
      </c>
      <c r="I9" s="10">
        <f>IF(OR($A9="",Production!I9="",Prices!I9=""),"",Production!I9*Prices!I9*(1-Commodities!$E9))</f>
        <v/>
      </c>
      <c r="J9" s="10">
        <f>IF(OR($A9="",Production!J9="",Prices!J9=""),"",Production!J9*Prices!J9*(1-Commodities!$E9))</f>
        <v/>
      </c>
    </row>
    <row r="10">
      <c r="A10" s="7">
        <f>IF(Commodities!B10="","",Commodities!B10)</f>
        <v/>
      </c>
      <c r="B10" s="7">
        <f>IF(Commodities!C10="","",Commodities!C10)</f>
        <v/>
      </c>
      <c r="C10" s="10">
        <f>IF(OR($A10="",Production!C10="",Prices!C10=""),"",Production!C10*Prices!C10*(1-Commodities!$E10))</f>
        <v/>
      </c>
      <c r="D10" s="10">
        <f>IF(OR($A10="",Production!D10="",Prices!D10=""),"",Production!D10*Prices!D10*(1-Commodities!$E10))</f>
        <v/>
      </c>
      <c r="E10" s="10">
        <f>IF(OR($A10="",Production!E10="",Prices!E10=""),"",Production!E10*Prices!E10*(1-Commodities!$E10))</f>
        <v/>
      </c>
      <c r="F10" s="10">
        <f>IF(OR($A10="",Production!F10="",Prices!F10=""),"",Production!F10*Prices!F10*(1-Commodities!$E10))</f>
        <v/>
      </c>
      <c r="G10" s="10">
        <f>IF(OR($A10="",Production!G10="",Prices!G10=""),"",Production!G10*Prices!G10*(1-Commodities!$E10))</f>
        <v/>
      </c>
      <c r="H10" s="10">
        <f>IF(OR($A10="",Production!H10="",Prices!H10=""),"",Production!H10*Prices!H10*(1-Commodities!$E10))</f>
        <v/>
      </c>
      <c r="I10" s="10">
        <f>IF(OR($A10="",Production!I10="",Prices!I10=""),"",Production!I10*Prices!I10*(1-Commodities!$E10))</f>
        <v/>
      </c>
      <c r="J10" s="10">
        <f>IF(OR($A10="",Production!J10="",Prices!J10=""),"",Production!J10*Prices!J10*(1-Commodities!$E10))</f>
        <v/>
      </c>
    </row>
    <row r="11">
      <c r="A11" s="7">
        <f>IF(Commodities!B11="","",Commodities!B11)</f>
        <v/>
      </c>
      <c r="B11" s="7">
        <f>IF(Commodities!C11="","",Commodities!C11)</f>
        <v/>
      </c>
      <c r="C11" s="10">
        <f>IF(OR($A11="",Production!C11="",Prices!C11=""),"",Production!C11*Prices!C11*(1-Commodities!$E11))</f>
        <v/>
      </c>
      <c r="D11" s="10">
        <f>IF(OR($A11="",Production!D11="",Prices!D11=""),"",Production!D11*Prices!D11*(1-Commodities!$E11))</f>
        <v/>
      </c>
      <c r="E11" s="10">
        <f>IF(OR($A11="",Production!E11="",Prices!E11=""),"",Production!E11*Prices!E11*(1-Commodities!$E11))</f>
        <v/>
      </c>
      <c r="F11" s="10">
        <f>IF(OR($A11="",Production!F11="",Prices!F11=""),"",Production!F11*Prices!F11*(1-Commodities!$E11))</f>
        <v/>
      </c>
      <c r="G11" s="10">
        <f>IF(OR($A11="",Production!G11="",Prices!G11=""),"",Production!G11*Prices!G11*(1-Commodities!$E11))</f>
        <v/>
      </c>
      <c r="H11" s="10">
        <f>IF(OR($A11="",Production!H11="",Prices!H11=""),"",Production!H11*Prices!H11*(1-Commodities!$E11))</f>
        <v/>
      </c>
      <c r="I11" s="10">
        <f>IF(OR($A11="",Production!I11="",Prices!I11=""),"",Production!I11*Prices!I11*(1-Commodities!$E11))</f>
        <v/>
      </c>
      <c r="J11" s="10">
        <f>IF(OR($A11="",Production!J11="",Prices!J11=""),"",Production!J11*Prices!J11*(1-Commodities!$E11))</f>
        <v/>
      </c>
    </row>
    <row r="12">
      <c r="A12" s="7">
        <f>IF(Commodities!B12="","",Commodities!B12)</f>
        <v/>
      </c>
      <c r="B12" s="7">
        <f>IF(Commodities!C12="","",Commodities!C12)</f>
        <v/>
      </c>
      <c r="C12" s="10">
        <f>IF(OR($A12="",Production!C12="",Prices!C12=""),"",Production!C12*Prices!C12*(1-Commodities!$E12))</f>
        <v/>
      </c>
      <c r="D12" s="10">
        <f>IF(OR($A12="",Production!D12="",Prices!D12=""),"",Production!D12*Prices!D12*(1-Commodities!$E12))</f>
        <v/>
      </c>
      <c r="E12" s="10">
        <f>IF(OR($A12="",Production!E12="",Prices!E12=""),"",Production!E12*Prices!E12*(1-Commodities!$E12))</f>
        <v/>
      </c>
      <c r="F12" s="10">
        <f>IF(OR($A12="",Production!F12="",Prices!F12=""),"",Production!F12*Prices!F12*(1-Commodities!$E12))</f>
        <v/>
      </c>
      <c r="G12" s="10">
        <f>IF(OR($A12="",Production!G12="",Prices!G12=""),"",Production!G12*Prices!G12*(1-Commodities!$E12))</f>
        <v/>
      </c>
      <c r="H12" s="10">
        <f>IF(OR($A12="",Production!H12="",Prices!H12=""),"",Production!H12*Prices!H12*(1-Commodities!$E12))</f>
        <v/>
      </c>
      <c r="I12" s="10">
        <f>IF(OR($A12="",Production!I12="",Prices!I12=""),"",Production!I12*Prices!I12*(1-Commodities!$E12))</f>
        <v/>
      </c>
      <c r="J12" s="10">
        <f>IF(OR($A12="",Production!J12="",Prices!J12=""),"",Production!J12*Prices!J12*(1-Commodities!$E12))</f>
        <v/>
      </c>
    </row>
    <row r="13">
      <c r="A13" s="7">
        <f>IF(Commodities!B13="","",Commodities!B13)</f>
        <v/>
      </c>
      <c r="B13" s="7">
        <f>IF(Commodities!C13="","",Commodities!C13)</f>
        <v/>
      </c>
      <c r="C13" s="10">
        <f>IF(OR($A13="",Production!C13="",Prices!C13=""),"",Production!C13*Prices!C13*(1-Commodities!$E13))</f>
        <v/>
      </c>
      <c r="D13" s="10">
        <f>IF(OR($A13="",Production!D13="",Prices!D13=""),"",Production!D13*Prices!D13*(1-Commodities!$E13))</f>
        <v/>
      </c>
      <c r="E13" s="10">
        <f>IF(OR($A13="",Production!E13="",Prices!E13=""),"",Production!E13*Prices!E13*(1-Commodities!$E13))</f>
        <v/>
      </c>
      <c r="F13" s="10">
        <f>IF(OR($A13="",Production!F13="",Prices!F13=""),"",Production!F13*Prices!F13*(1-Commodities!$E13))</f>
        <v/>
      </c>
      <c r="G13" s="10">
        <f>IF(OR($A13="",Production!G13="",Prices!G13=""),"",Production!G13*Prices!G13*(1-Commodities!$E13))</f>
        <v/>
      </c>
      <c r="H13" s="10">
        <f>IF(OR($A13="",Production!H13="",Prices!H13=""),"",Production!H13*Prices!H13*(1-Commodities!$E13))</f>
        <v/>
      </c>
      <c r="I13" s="10">
        <f>IF(OR($A13="",Production!I13="",Prices!I13=""),"",Production!I13*Prices!I13*(1-Commodities!$E13))</f>
        <v/>
      </c>
      <c r="J13" s="10">
        <f>IF(OR($A13="",Production!J13="",Prices!J13=""),"",Production!J13*Prices!J13*(1-Commodities!$E13))</f>
        <v/>
      </c>
    </row>
    <row r="14">
      <c r="A14" s="7">
        <f>IF(Commodities!B14="","",Commodities!B14)</f>
        <v/>
      </c>
      <c r="B14" s="7">
        <f>IF(Commodities!C14="","",Commodities!C14)</f>
        <v/>
      </c>
      <c r="C14" s="10">
        <f>IF(OR($A14="",Production!C14="",Prices!C14=""),"",Production!C14*Prices!C14*(1-Commodities!$E14))</f>
        <v/>
      </c>
      <c r="D14" s="10">
        <f>IF(OR($A14="",Production!D14="",Prices!D14=""),"",Production!D14*Prices!D14*(1-Commodities!$E14))</f>
        <v/>
      </c>
      <c r="E14" s="10">
        <f>IF(OR($A14="",Production!E14="",Prices!E14=""),"",Production!E14*Prices!E14*(1-Commodities!$E14))</f>
        <v/>
      </c>
      <c r="F14" s="10">
        <f>IF(OR($A14="",Production!F14="",Prices!F14=""),"",Production!F14*Prices!F14*(1-Commodities!$E14))</f>
        <v/>
      </c>
      <c r="G14" s="10">
        <f>IF(OR($A14="",Production!G14="",Prices!G14=""),"",Production!G14*Prices!G14*(1-Commodities!$E14))</f>
        <v/>
      </c>
      <c r="H14" s="10">
        <f>IF(OR($A14="",Production!H14="",Prices!H14=""),"",Production!H14*Prices!H14*(1-Commodities!$E14))</f>
        <v/>
      </c>
      <c r="I14" s="10">
        <f>IF(OR($A14="",Production!I14="",Prices!I14=""),"",Production!I14*Prices!I14*(1-Commodities!$E14))</f>
        <v/>
      </c>
      <c r="J14" s="10">
        <f>IF(OR($A14="",Production!J14="",Prices!J14=""),"",Production!J14*Prices!J14*(1-Commodities!$E14))</f>
        <v/>
      </c>
    </row>
    <row r="15">
      <c r="A15" s="7">
        <f>IF(Commodities!B15="","",Commodities!B15)</f>
        <v/>
      </c>
      <c r="B15" s="7">
        <f>IF(Commodities!C15="","",Commodities!C15)</f>
        <v/>
      </c>
      <c r="C15" s="10">
        <f>IF(OR($A15="",Production!C15="",Prices!C15=""),"",Production!C15*Prices!C15*(1-Commodities!$E15))</f>
        <v/>
      </c>
      <c r="D15" s="10">
        <f>IF(OR($A15="",Production!D15="",Prices!D15=""),"",Production!D15*Prices!D15*(1-Commodities!$E15))</f>
        <v/>
      </c>
      <c r="E15" s="10">
        <f>IF(OR($A15="",Production!E15="",Prices!E15=""),"",Production!E15*Prices!E15*(1-Commodities!$E15))</f>
        <v/>
      </c>
      <c r="F15" s="10">
        <f>IF(OR($A15="",Production!F15="",Prices!F15=""),"",Production!F15*Prices!F15*(1-Commodities!$E15))</f>
        <v/>
      </c>
      <c r="G15" s="10">
        <f>IF(OR($A15="",Production!G15="",Prices!G15=""),"",Production!G15*Prices!G15*(1-Commodities!$E15))</f>
        <v/>
      </c>
      <c r="H15" s="10">
        <f>IF(OR($A15="",Production!H15="",Prices!H15=""),"",Production!H15*Prices!H15*(1-Commodities!$E15))</f>
        <v/>
      </c>
      <c r="I15" s="10">
        <f>IF(OR($A15="",Production!I15="",Prices!I15=""),"",Production!I15*Prices!I15*(1-Commodities!$E15))</f>
        <v/>
      </c>
      <c r="J15" s="10">
        <f>IF(OR($A15="",Production!J15="",Prices!J15=""),"",Production!J15*Prices!J15*(1-Commodities!$E15))</f>
        <v/>
      </c>
    </row>
    <row r="16">
      <c r="A16" s="7">
        <f>IF(Commodities!B16="","",Commodities!B16)</f>
        <v/>
      </c>
      <c r="B16" s="7">
        <f>IF(Commodities!C16="","",Commodities!C16)</f>
        <v/>
      </c>
      <c r="C16" s="10">
        <f>IF(OR($A16="",Production!C16="",Prices!C16=""),"",Production!C16*Prices!C16*(1-Commodities!$E16))</f>
        <v/>
      </c>
      <c r="D16" s="10">
        <f>IF(OR($A16="",Production!D16="",Prices!D16=""),"",Production!D16*Prices!D16*(1-Commodities!$E16))</f>
        <v/>
      </c>
      <c r="E16" s="10">
        <f>IF(OR($A16="",Production!E16="",Prices!E16=""),"",Production!E16*Prices!E16*(1-Commodities!$E16))</f>
        <v/>
      </c>
      <c r="F16" s="10">
        <f>IF(OR($A16="",Production!F16="",Prices!F16=""),"",Production!F16*Prices!F16*(1-Commodities!$E16))</f>
        <v/>
      </c>
      <c r="G16" s="10">
        <f>IF(OR($A16="",Production!G16="",Prices!G16=""),"",Production!G16*Prices!G16*(1-Commodities!$E16))</f>
        <v/>
      </c>
      <c r="H16" s="10">
        <f>IF(OR($A16="",Production!H16="",Prices!H16=""),"",Production!H16*Prices!H16*(1-Commodities!$E16))</f>
        <v/>
      </c>
      <c r="I16" s="10">
        <f>IF(OR($A16="",Production!I16="",Prices!I16=""),"",Production!I16*Prices!I16*(1-Commodities!$E16))</f>
        <v/>
      </c>
      <c r="J16" s="10">
        <f>IF(OR($A16="",Production!J16="",Prices!J16=""),"",Production!J16*Prices!J16*(1-Commodities!$E16))</f>
        <v/>
      </c>
    </row>
    <row r="17">
      <c r="A17" s="7">
        <f>IF(Commodities!B17="","",Commodities!B17)</f>
        <v/>
      </c>
      <c r="B17" s="7">
        <f>IF(Commodities!C17="","",Commodities!C17)</f>
        <v/>
      </c>
      <c r="C17" s="10">
        <f>IF(OR($A17="",Production!C17="",Prices!C17=""),"",Production!C17*Prices!C17*(1-Commodities!$E17))</f>
        <v/>
      </c>
      <c r="D17" s="10">
        <f>IF(OR($A17="",Production!D17="",Prices!D17=""),"",Production!D17*Prices!D17*(1-Commodities!$E17))</f>
        <v/>
      </c>
      <c r="E17" s="10">
        <f>IF(OR($A17="",Production!E17="",Prices!E17=""),"",Production!E17*Prices!E17*(1-Commodities!$E17))</f>
        <v/>
      </c>
      <c r="F17" s="10">
        <f>IF(OR($A17="",Production!F17="",Prices!F17=""),"",Production!F17*Prices!F17*(1-Commodities!$E17))</f>
        <v/>
      </c>
      <c r="G17" s="10">
        <f>IF(OR($A17="",Production!G17="",Prices!G17=""),"",Production!G17*Prices!G17*(1-Commodities!$E17))</f>
        <v/>
      </c>
      <c r="H17" s="10">
        <f>IF(OR($A17="",Production!H17="",Prices!H17=""),"",Production!H17*Prices!H17*(1-Commodities!$E17))</f>
        <v/>
      </c>
      <c r="I17" s="10">
        <f>IF(OR($A17="",Production!I17="",Prices!I17=""),"",Production!I17*Prices!I17*(1-Commodities!$E17))</f>
        <v/>
      </c>
      <c r="J17" s="10">
        <f>IF(OR($A17="",Production!J17="",Prices!J17=""),"",Production!J17*Prices!J17*(1-Commodities!$E17))</f>
        <v/>
      </c>
    </row>
    <row r="18">
      <c r="A18" s="7">
        <f>IF(Commodities!B18="","",Commodities!B18)</f>
        <v/>
      </c>
      <c r="B18" s="7">
        <f>IF(Commodities!C18="","",Commodities!C18)</f>
        <v/>
      </c>
      <c r="C18" s="10">
        <f>IF(OR($A18="",Production!C18="",Prices!C18=""),"",Production!C18*Prices!C18*(1-Commodities!$E18))</f>
        <v/>
      </c>
      <c r="D18" s="10">
        <f>IF(OR($A18="",Production!D18="",Prices!D18=""),"",Production!D18*Prices!D18*(1-Commodities!$E18))</f>
        <v/>
      </c>
      <c r="E18" s="10">
        <f>IF(OR($A18="",Production!E18="",Prices!E18=""),"",Production!E18*Prices!E18*(1-Commodities!$E18))</f>
        <v/>
      </c>
      <c r="F18" s="10">
        <f>IF(OR($A18="",Production!F18="",Prices!F18=""),"",Production!F18*Prices!F18*(1-Commodities!$E18))</f>
        <v/>
      </c>
      <c r="G18" s="10">
        <f>IF(OR($A18="",Production!G18="",Prices!G18=""),"",Production!G18*Prices!G18*(1-Commodities!$E18))</f>
        <v/>
      </c>
      <c r="H18" s="10">
        <f>IF(OR($A18="",Production!H18="",Prices!H18=""),"",Production!H18*Prices!H18*(1-Commodities!$E18))</f>
        <v/>
      </c>
      <c r="I18" s="10">
        <f>IF(OR($A18="",Production!I18="",Prices!I18=""),"",Production!I18*Prices!I18*(1-Commodities!$E18))</f>
        <v/>
      </c>
      <c r="J18" s="10">
        <f>IF(OR($A18="",Production!J18="",Prices!J18=""),"",Production!J18*Prices!J18*(1-Commodities!$E18))</f>
        <v/>
      </c>
    </row>
    <row r="19">
      <c r="A19" s="7">
        <f>IF(Commodities!B19="","",Commodities!B19)</f>
        <v/>
      </c>
      <c r="B19" s="7">
        <f>IF(Commodities!C19="","",Commodities!C19)</f>
        <v/>
      </c>
      <c r="C19" s="10">
        <f>IF(OR($A19="",Production!C19="",Prices!C19=""),"",Production!C19*Prices!C19*(1-Commodities!$E19))</f>
        <v/>
      </c>
      <c r="D19" s="10">
        <f>IF(OR($A19="",Production!D19="",Prices!D19=""),"",Production!D19*Prices!D19*(1-Commodities!$E19))</f>
        <v/>
      </c>
      <c r="E19" s="10">
        <f>IF(OR($A19="",Production!E19="",Prices!E19=""),"",Production!E19*Prices!E19*(1-Commodities!$E19))</f>
        <v/>
      </c>
      <c r="F19" s="10">
        <f>IF(OR($A19="",Production!F19="",Prices!F19=""),"",Production!F19*Prices!F19*(1-Commodities!$E19))</f>
        <v/>
      </c>
      <c r="G19" s="10">
        <f>IF(OR($A19="",Production!G19="",Prices!G19=""),"",Production!G19*Prices!G19*(1-Commodities!$E19))</f>
        <v/>
      </c>
      <c r="H19" s="10">
        <f>IF(OR($A19="",Production!H19="",Prices!H19=""),"",Production!H19*Prices!H19*(1-Commodities!$E19))</f>
        <v/>
      </c>
      <c r="I19" s="10">
        <f>IF(OR($A19="",Production!I19="",Prices!I19=""),"",Production!I19*Prices!I19*(1-Commodities!$E19))</f>
        <v/>
      </c>
      <c r="J19" s="10">
        <f>IF(OR($A19="",Production!J19="",Prices!J19=""),"",Production!J19*Prices!J19*(1-Commodities!$E19))</f>
        <v/>
      </c>
    </row>
    <row r="20">
      <c r="A20" s="7">
        <f>IF(Commodities!B20="","",Commodities!B20)</f>
        <v/>
      </c>
      <c r="B20" s="7">
        <f>IF(Commodities!C20="","",Commodities!C20)</f>
        <v/>
      </c>
      <c r="C20" s="10">
        <f>IF(OR($A20="",Production!C20="",Prices!C20=""),"",Production!C20*Prices!C20*(1-Commodities!$E20))</f>
        <v/>
      </c>
      <c r="D20" s="10">
        <f>IF(OR($A20="",Production!D20="",Prices!D20=""),"",Production!D20*Prices!D20*(1-Commodities!$E20))</f>
        <v/>
      </c>
      <c r="E20" s="10">
        <f>IF(OR($A20="",Production!E20="",Prices!E20=""),"",Production!E20*Prices!E20*(1-Commodities!$E20))</f>
        <v/>
      </c>
      <c r="F20" s="10">
        <f>IF(OR($A20="",Production!F20="",Prices!F20=""),"",Production!F20*Prices!F20*(1-Commodities!$E20))</f>
        <v/>
      </c>
      <c r="G20" s="10">
        <f>IF(OR($A20="",Production!G20="",Prices!G20=""),"",Production!G20*Prices!G20*(1-Commodities!$E20))</f>
        <v/>
      </c>
      <c r="H20" s="10">
        <f>IF(OR($A20="",Production!H20="",Prices!H20=""),"",Production!H20*Prices!H20*(1-Commodities!$E20))</f>
        <v/>
      </c>
      <c r="I20" s="10">
        <f>IF(OR($A20="",Production!I20="",Prices!I20=""),"",Production!I20*Prices!I20*(1-Commodities!$E20))</f>
        <v/>
      </c>
      <c r="J20" s="10">
        <f>IF(OR($A20="",Production!J20="",Prices!J20=""),"",Production!J20*Prices!J20*(1-Commodities!$E20))</f>
        <v/>
      </c>
    </row>
    <row r="21">
      <c r="A21" s="7">
        <f>IF(Commodities!B21="","",Commodities!B21)</f>
        <v/>
      </c>
      <c r="B21" s="7">
        <f>IF(Commodities!C21="","",Commodities!C21)</f>
        <v/>
      </c>
      <c r="C21" s="10">
        <f>IF(OR($A21="",Production!C21="",Prices!C21=""),"",Production!C21*Prices!C21*(1-Commodities!$E21))</f>
        <v/>
      </c>
      <c r="D21" s="10">
        <f>IF(OR($A21="",Production!D21="",Prices!D21=""),"",Production!D21*Prices!D21*(1-Commodities!$E21))</f>
        <v/>
      </c>
      <c r="E21" s="10">
        <f>IF(OR($A21="",Production!E21="",Prices!E21=""),"",Production!E21*Prices!E21*(1-Commodities!$E21))</f>
        <v/>
      </c>
      <c r="F21" s="10">
        <f>IF(OR($A21="",Production!F21="",Prices!F21=""),"",Production!F21*Prices!F21*(1-Commodities!$E21))</f>
        <v/>
      </c>
      <c r="G21" s="10">
        <f>IF(OR($A21="",Production!G21="",Prices!G21=""),"",Production!G21*Prices!G21*(1-Commodities!$E21))</f>
        <v/>
      </c>
      <c r="H21" s="10">
        <f>IF(OR($A21="",Production!H21="",Prices!H21=""),"",Production!H21*Prices!H21*(1-Commodities!$E21))</f>
        <v/>
      </c>
      <c r="I21" s="10">
        <f>IF(OR($A21="",Production!I21="",Prices!I21=""),"",Production!I21*Prices!I21*(1-Commodities!$E21))</f>
        <v/>
      </c>
      <c r="J21" s="10">
        <f>IF(OR($A21="",Production!J21="",Prices!J21=""),"",Production!J21*Prices!J21*(1-Commodities!$E21))</f>
        <v/>
      </c>
    </row>
    <row r="22">
      <c r="A22" s="7">
        <f>IF(Commodities!B22="","",Commodities!B22)</f>
        <v/>
      </c>
      <c r="B22" s="7">
        <f>IF(Commodities!C22="","",Commodities!C22)</f>
        <v/>
      </c>
      <c r="C22" s="10">
        <f>IF(OR($A22="",Production!C22="",Prices!C22=""),"",Production!C22*Prices!C22*(1-Commodities!$E22))</f>
        <v/>
      </c>
      <c r="D22" s="10">
        <f>IF(OR($A22="",Production!D22="",Prices!D22=""),"",Production!D22*Prices!D22*(1-Commodities!$E22))</f>
        <v/>
      </c>
      <c r="E22" s="10">
        <f>IF(OR($A22="",Production!E22="",Prices!E22=""),"",Production!E22*Prices!E22*(1-Commodities!$E22))</f>
        <v/>
      </c>
      <c r="F22" s="10">
        <f>IF(OR($A22="",Production!F22="",Prices!F22=""),"",Production!F22*Prices!F22*(1-Commodities!$E22))</f>
        <v/>
      </c>
      <c r="G22" s="10">
        <f>IF(OR($A22="",Production!G22="",Prices!G22=""),"",Production!G22*Prices!G22*(1-Commodities!$E22))</f>
        <v/>
      </c>
      <c r="H22" s="10">
        <f>IF(OR($A22="",Production!H22="",Prices!H22=""),"",Production!H22*Prices!H22*(1-Commodities!$E22))</f>
        <v/>
      </c>
      <c r="I22" s="10">
        <f>IF(OR($A22="",Production!I22="",Prices!I22=""),"",Production!I22*Prices!I22*(1-Commodities!$E22))</f>
        <v/>
      </c>
      <c r="J22" s="10">
        <f>IF(OR($A22="",Production!J22="",Prices!J22=""),"",Production!J22*Prices!J22*(1-Commodities!$E22))</f>
        <v/>
      </c>
    </row>
    <row r="23">
      <c r="A23" s="7">
        <f>IF(Commodities!B23="","",Commodities!B23)</f>
        <v/>
      </c>
      <c r="B23" s="7">
        <f>IF(Commodities!C23="","",Commodities!C23)</f>
        <v/>
      </c>
      <c r="C23" s="10">
        <f>IF(OR($A23="",Production!C23="",Prices!C23=""),"",Production!C23*Prices!C23*(1-Commodities!$E23))</f>
        <v/>
      </c>
      <c r="D23" s="10">
        <f>IF(OR($A23="",Production!D23="",Prices!D23=""),"",Production!D23*Prices!D23*(1-Commodities!$E23))</f>
        <v/>
      </c>
      <c r="E23" s="10">
        <f>IF(OR($A23="",Production!E23="",Prices!E23=""),"",Production!E23*Prices!E23*(1-Commodities!$E23))</f>
        <v/>
      </c>
      <c r="F23" s="10">
        <f>IF(OR($A23="",Production!F23="",Prices!F23=""),"",Production!F23*Prices!F23*(1-Commodities!$E23))</f>
        <v/>
      </c>
      <c r="G23" s="10">
        <f>IF(OR($A23="",Production!G23="",Prices!G23=""),"",Production!G23*Prices!G23*(1-Commodities!$E23))</f>
        <v/>
      </c>
      <c r="H23" s="10">
        <f>IF(OR($A23="",Production!H23="",Prices!H23=""),"",Production!H23*Prices!H23*(1-Commodities!$E23))</f>
        <v/>
      </c>
      <c r="I23" s="10">
        <f>IF(OR($A23="",Production!I23="",Prices!I23=""),"",Production!I23*Prices!I23*(1-Commodities!$E23))</f>
        <v/>
      </c>
      <c r="J23" s="10">
        <f>IF(OR($A23="",Production!J23="",Prices!J23=""),"",Production!J23*Prices!J23*(1-Commodities!$E23))</f>
        <v/>
      </c>
    </row>
    <row r="24">
      <c r="A24" s="7">
        <f>IF(Commodities!B24="","",Commodities!B24)</f>
        <v/>
      </c>
      <c r="B24" s="7">
        <f>IF(Commodities!C24="","",Commodities!C24)</f>
        <v/>
      </c>
      <c r="C24" s="10">
        <f>IF(OR($A24="",Production!C24="",Prices!C24=""),"",Production!C24*Prices!C24*(1-Commodities!$E24))</f>
        <v/>
      </c>
      <c r="D24" s="10">
        <f>IF(OR($A24="",Production!D24="",Prices!D24=""),"",Production!D24*Prices!D24*(1-Commodities!$E24))</f>
        <v/>
      </c>
      <c r="E24" s="10">
        <f>IF(OR($A24="",Production!E24="",Prices!E24=""),"",Production!E24*Prices!E24*(1-Commodities!$E24))</f>
        <v/>
      </c>
      <c r="F24" s="10">
        <f>IF(OR($A24="",Production!F24="",Prices!F24=""),"",Production!F24*Prices!F24*(1-Commodities!$E24))</f>
        <v/>
      </c>
      <c r="G24" s="10">
        <f>IF(OR($A24="",Production!G24="",Prices!G24=""),"",Production!G24*Prices!G24*(1-Commodities!$E24))</f>
        <v/>
      </c>
      <c r="H24" s="10">
        <f>IF(OR($A24="",Production!H24="",Prices!H24=""),"",Production!H24*Prices!H24*(1-Commodities!$E24))</f>
        <v/>
      </c>
      <c r="I24" s="10">
        <f>IF(OR($A24="",Production!I24="",Prices!I24=""),"",Production!I24*Prices!I24*(1-Commodities!$E24))</f>
        <v/>
      </c>
      <c r="J24" s="10">
        <f>IF(OR($A24="",Production!J24="",Prices!J24=""),"",Production!J24*Prices!J24*(1-Commodities!$E24))</f>
        <v/>
      </c>
    </row>
    <row r="25">
      <c r="A25" s="7">
        <f>IF(Commodities!B25="","",Commodities!B25)</f>
        <v/>
      </c>
      <c r="B25" s="7">
        <f>IF(Commodities!C25="","",Commodities!C25)</f>
        <v/>
      </c>
      <c r="C25" s="10">
        <f>IF(OR($A25="",Production!C25="",Prices!C25=""),"",Production!C25*Prices!C25*(1-Commodities!$E25))</f>
        <v/>
      </c>
      <c r="D25" s="10">
        <f>IF(OR($A25="",Production!D25="",Prices!D25=""),"",Production!D25*Prices!D25*(1-Commodities!$E25))</f>
        <v/>
      </c>
      <c r="E25" s="10">
        <f>IF(OR($A25="",Production!E25="",Prices!E25=""),"",Production!E25*Prices!E25*(1-Commodities!$E25))</f>
        <v/>
      </c>
      <c r="F25" s="10">
        <f>IF(OR($A25="",Production!F25="",Prices!F25=""),"",Production!F25*Prices!F25*(1-Commodities!$E25))</f>
        <v/>
      </c>
      <c r="G25" s="10">
        <f>IF(OR($A25="",Production!G25="",Prices!G25=""),"",Production!G25*Prices!G25*(1-Commodities!$E25))</f>
        <v/>
      </c>
      <c r="H25" s="10">
        <f>IF(OR($A25="",Production!H25="",Prices!H25=""),"",Production!H25*Prices!H25*(1-Commodities!$E25))</f>
        <v/>
      </c>
      <c r="I25" s="10">
        <f>IF(OR($A25="",Production!I25="",Prices!I25=""),"",Production!I25*Prices!I25*(1-Commodities!$E25))</f>
        <v/>
      </c>
      <c r="J25" s="10">
        <f>IF(OR($A25="",Production!J25="",Prices!J25=""),"",Production!J25*Prices!J25*(1-Commodities!$E25))</f>
        <v/>
      </c>
    </row>
    <row r="26">
      <c r="A26" s="7">
        <f>IF(Commodities!B26="","",Commodities!B26)</f>
        <v/>
      </c>
      <c r="B26" s="7">
        <f>IF(Commodities!C26="","",Commodities!C26)</f>
        <v/>
      </c>
      <c r="C26" s="10">
        <f>IF(OR($A26="",Production!C26="",Prices!C26=""),"",Production!C26*Prices!C26*(1-Commodities!$E26))</f>
        <v/>
      </c>
      <c r="D26" s="10">
        <f>IF(OR($A26="",Production!D26="",Prices!D26=""),"",Production!D26*Prices!D26*(1-Commodities!$E26))</f>
        <v/>
      </c>
      <c r="E26" s="10">
        <f>IF(OR($A26="",Production!E26="",Prices!E26=""),"",Production!E26*Prices!E26*(1-Commodities!$E26))</f>
        <v/>
      </c>
      <c r="F26" s="10">
        <f>IF(OR($A26="",Production!F26="",Prices!F26=""),"",Production!F26*Prices!F26*(1-Commodities!$E26))</f>
        <v/>
      </c>
      <c r="G26" s="10">
        <f>IF(OR($A26="",Production!G26="",Prices!G26=""),"",Production!G26*Prices!G26*(1-Commodities!$E26))</f>
        <v/>
      </c>
      <c r="H26" s="10">
        <f>IF(OR($A26="",Production!H26="",Prices!H26=""),"",Production!H26*Prices!H26*(1-Commodities!$E26))</f>
        <v/>
      </c>
      <c r="I26" s="10">
        <f>IF(OR($A26="",Production!I26="",Prices!I26=""),"",Production!I26*Prices!I26*(1-Commodities!$E26))</f>
        <v/>
      </c>
      <c r="J26" s="10">
        <f>IF(OR($A26="",Production!J26="",Prices!J26=""),"",Production!J26*Prices!J26*(1-Commodities!$E26))</f>
        <v/>
      </c>
    </row>
    <row r="27">
      <c r="A27" s="7">
        <f>IF(Commodities!B27="","",Commodities!B27)</f>
        <v/>
      </c>
      <c r="B27" s="7">
        <f>IF(Commodities!C27="","",Commodities!C27)</f>
        <v/>
      </c>
      <c r="C27" s="10">
        <f>IF(OR($A27="",Production!C27="",Prices!C27=""),"",Production!C27*Prices!C27*(1-Commodities!$E27))</f>
        <v/>
      </c>
      <c r="D27" s="10">
        <f>IF(OR($A27="",Production!D27="",Prices!D27=""),"",Production!D27*Prices!D27*(1-Commodities!$E27))</f>
        <v/>
      </c>
      <c r="E27" s="10">
        <f>IF(OR($A27="",Production!E27="",Prices!E27=""),"",Production!E27*Prices!E27*(1-Commodities!$E27))</f>
        <v/>
      </c>
      <c r="F27" s="10">
        <f>IF(OR($A27="",Production!F27="",Prices!F27=""),"",Production!F27*Prices!F27*(1-Commodities!$E27))</f>
        <v/>
      </c>
      <c r="G27" s="10">
        <f>IF(OR($A27="",Production!G27="",Prices!G27=""),"",Production!G27*Prices!G27*(1-Commodities!$E27))</f>
        <v/>
      </c>
      <c r="H27" s="10">
        <f>IF(OR($A27="",Production!H27="",Prices!H27=""),"",Production!H27*Prices!H27*(1-Commodities!$E27))</f>
        <v/>
      </c>
      <c r="I27" s="10">
        <f>IF(OR($A27="",Production!I27="",Prices!I27=""),"",Production!I27*Prices!I27*(1-Commodities!$E27))</f>
        <v/>
      </c>
      <c r="J27" s="10">
        <f>IF(OR($A27="",Production!J27="",Prices!J27=""),"",Production!J27*Prices!J27*(1-Commodities!$E27))</f>
        <v/>
      </c>
    </row>
    <row r="28">
      <c r="A28" s="7">
        <f>IF(Commodities!B28="","",Commodities!B28)</f>
        <v/>
      </c>
      <c r="B28" s="7">
        <f>IF(Commodities!C28="","",Commodities!C28)</f>
        <v/>
      </c>
      <c r="C28" s="10">
        <f>IF(OR($A28="",Production!C28="",Prices!C28=""),"",Production!C28*Prices!C28*(1-Commodities!$E28))</f>
        <v/>
      </c>
      <c r="D28" s="10">
        <f>IF(OR($A28="",Production!D28="",Prices!D28=""),"",Production!D28*Prices!D28*(1-Commodities!$E28))</f>
        <v/>
      </c>
      <c r="E28" s="10">
        <f>IF(OR($A28="",Production!E28="",Prices!E28=""),"",Production!E28*Prices!E28*(1-Commodities!$E28))</f>
        <v/>
      </c>
      <c r="F28" s="10">
        <f>IF(OR($A28="",Production!F28="",Prices!F28=""),"",Production!F28*Prices!F28*(1-Commodities!$E28))</f>
        <v/>
      </c>
      <c r="G28" s="10">
        <f>IF(OR($A28="",Production!G28="",Prices!G28=""),"",Production!G28*Prices!G28*(1-Commodities!$E28))</f>
        <v/>
      </c>
      <c r="H28" s="10">
        <f>IF(OR($A28="",Production!H28="",Prices!H28=""),"",Production!H28*Prices!H28*(1-Commodities!$E28))</f>
        <v/>
      </c>
      <c r="I28" s="10">
        <f>IF(OR($A28="",Production!I28="",Prices!I28=""),"",Production!I28*Prices!I28*(1-Commodities!$E28))</f>
        <v/>
      </c>
      <c r="J28" s="10">
        <f>IF(OR($A28="",Production!J28="",Prices!J28=""),"",Production!J28*Prices!J28*(1-Commodities!$E28))</f>
        <v/>
      </c>
    </row>
    <row r="29">
      <c r="A29" s="7">
        <f>IF(Commodities!B29="","",Commodities!B29)</f>
        <v/>
      </c>
      <c r="B29" s="7">
        <f>IF(Commodities!C29="","",Commodities!C29)</f>
        <v/>
      </c>
      <c r="C29" s="10">
        <f>IF(OR($A29="",Production!C29="",Prices!C29=""),"",Production!C29*Prices!C29*(1-Commodities!$E29))</f>
        <v/>
      </c>
      <c r="D29" s="10">
        <f>IF(OR($A29="",Production!D29="",Prices!D29=""),"",Production!D29*Prices!D29*(1-Commodities!$E29))</f>
        <v/>
      </c>
      <c r="E29" s="10">
        <f>IF(OR($A29="",Production!E29="",Prices!E29=""),"",Production!E29*Prices!E29*(1-Commodities!$E29))</f>
        <v/>
      </c>
      <c r="F29" s="10">
        <f>IF(OR($A29="",Production!F29="",Prices!F29=""),"",Production!F29*Prices!F29*(1-Commodities!$E29))</f>
        <v/>
      </c>
      <c r="G29" s="10">
        <f>IF(OR($A29="",Production!G29="",Prices!G29=""),"",Production!G29*Prices!G29*(1-Commodities!$E29))</f>
        <v/>
      </c>
      <c r="H29" s="10">
        <f>IF(OR($A29="",Production!H29="",Prices!H29=""),"",Production!H29*Prices!H29*(1-Commodities!$E29))</f>
        <v/>
      </c>
      <c r="I29" s="10">
        <f>IF(OR($A29="",Production!I29="",Prices!I29=""),"",Production!I29*Prices!I29*(1-Commodities!$E29))</f>
        <v/>
      </c>
      <c r="J29" s="10">
        <f>IF(OR($A29="",Production!J29="",Prices!J29=""),"",Production!J29*Prices!J29*(1-Commodities!$E29))</f>
        <v/>
      </c>
    </row>
    <row r="30">
      <c r="A30" s="7">
        <f>IF(Commodities!B30="","",Commodities!B30)</f>
        <v/>
      </c>
      <c r="B30" s="7">
        <f>IF(Commodities!C30="","",Commodities!C30)</f>
        <v/>
      </c>
      <c r="C30" s="10">
        <f>IF(OR($A30="",Production!C30="",Prices!C30=""),"",Production!C30*Prices!C30*(1-Commodities!$E30))</f>
        <v/>
      </c>
      <c r="D30" s="10">
        <f>IF(OR($A30="",Production!D30="",Prices!D30=""),"",Production!D30*Prices!D30*(1-Commodities!$E30))</f>
        <v/>
      </c>
      <c r="E30" s="10">
        <f>IF(OR($A30="",Production!E30="",Prices!E30=""),"",Production!E30*Prices!E30*(1-Commodities!$E30))</f>
        <v/>
      </c>
      <c r="F30" s="10">
        <f>IF(OR($A30="",Production!F30="",Prices!F30=""),"",Production!F30*Prices!F30*(1-Commodities!$E30))</f>
        <v/>
      </c>
      <c r="G30" s="10">
        <f>IF(OR($A30="",Production!G30="",Prices!G30=""),"",Production!G30*Prices!G30*(1-Commodities!$E30))</f>
        <v/>
      </c>
      <c r="H30" s="10">
        <f>IF(OR($A30="",Production!H30="",Prices!H30=""),"",Production!H30*Prices!H30*(1-Commodities!$E30))</f>
        <v/>
      </c>
      <c r="I30" s="10">
        <f>IF(OR($A30="",Production!I30="",Prices!I30=""),"",Production!I30*Prices!I30*(1-Commodities!$E30))</f>
        <v/>
      </c>
      <c r="J30" s="10">
        <f>IF(OR($A30="",Production!J30="",Prices!J30=""),"",Production!J30*Prices!J30*(1-Commodities!$E30))</f>
        <v/>
      </c>
    </row>
    <row r="31">
      <c r="A31" s="7">
        <f>IF(Commodities!B31="","",Commodities!B31)</f>
        <v/>
      </c>
      <c r="B31" s="7">
        <f>IF(Commodities!C31="","",Commodities!C31)</f>
        <v/>
      </c>
      <c r="C31" s="10">
        <f>IF(OR($A31="",Production!C31="",Prices!C31=""),"",Production!C31*Prices!C31*(1-Commodities!$E31))</f>
        <v/>
      </c>
      <c r="D31" s="10">
        <f>IF(OR($A31="",Production!D31="",Prices!D31=""),"",Production!D31*Prices!D31*(1-Commodities!$E31))</f>
        <v/>
      </c>
      <c r="E31" s="10">
        <f>IF(OR($A31="",Production!E31="",Prices!E31=""),"",Production!E31*Prices!E31*(1-Commodities!$E31))</f>
        <v/>
      </c>
      <c r="F31" s="10">
        <f>IF(OR($A31="",Production!F31="",Prices!F31=""),"",Production!F31*Prices!F31*(1-Commodities!$E31))</f>
        <v/>
      </c>
      <c r="G31" s="10">
        <f>IF(OR($A31="",Production!G31="",Prices!G31=""),"",Production!G31*Prices!G31*(1-Commodities!$E31))</f>
        <v/>
      </c>
      <c r="H31" s="10">
        <f>IF(OR($A31="",Production!H31="",Prices!H31=""),"",Production!H31*Prices!H31*(1-Commodities!$E31))</f>
        <v/>
      </c>
      <c r="I31" s="10">
        <f>IF(OR($A31="",Production!I31="",Prices!I31=""),"",Production!I31*Prices!I31*(1-Commodities!$E31))</f>
        <v/>
      </c>
      <c r="J31" s="10">
        <f>IF(OR($A31="",Production!J31="",Prices!J31=""),"",Production!J31*Prices!J31*(1-Commodities!$E31))</f>
        <v/>
      </c>
    </row>
    <row r="32">
      <c r="A32" s="7">
        <f>IF(Commodities!B32="","",Commodities!B32)</f>
        <v/>
      </c>
      <c r="B32" s="7">
        <f>IF(Commodities!C32="","",Commodities!C32)</f>
        <v/>
      </c>
      <c r="C32" s="10">
        <f>IF(OR($A32="",Production!C32="",Prices!C32=""),"",Production!C32*Prices!C32*(1-Commodities!$E32))</f>
        <v/>
      </c>
      <c r="D32" s="10">
        <f>IF(OR($A32="",Production!D32="",Prices!D32=""),"",Production!D32*Prices!D32*(1-Commodities!$E32))</f>
        <v/>
      </c>
      <c r="E32" s="10">
        <f>IF(OR($A32="",Production!E32="",Prices!E32=""),"",Production!E32*Prices!E32*(1-Commodities!$E32))</f>
        <v/>
      </c>
      <c r="F32" s="10">
        <f>IF(OR($A32="",Production!F32="",Prices!F32=""),"",Production!F32*Prices!F32*(1-Commodities!$E32))</f>
        <v/>
      </c>
      <c r="G32" s="10">
        <f>IF(OR($A32="",Production!G32="",Prices!G32=""),"",Production!G32*Prices!G32*(1-Commodities!$E32))</f>
        <v/>
      </c>
      <c r="H32" s="10">
        <f>IF(OR($A32="",Production!H32="",Prices!H32=""),"",Production!H32*Prices!H32*(1-Commodities!$E32))</f>
        <v/>
      </c>
      <c r="I32" s="10">
        <f>IF(OR($A32="",Production!I32="",Prices!I32=""),"",Production!I32*Prices!I32*(1-Commodities!$E32))</f>
        <v/>
      </c>
      <c r="J32" s="10">
        <f>IF(OR($A32="",Production!J32="",Prices!J32=""),"",Production!J32*Prices!J32*(1-Commodities!$E32))</f>
        <v/>
      </c>
    </row>
    <row r="33">
      <c r="A33" s="7">
        <f>IF(Commodities!B33="","",Commodities!B33)</f>
        <v/>
      </c>
      <c r="B33" s="7">
        <f>IF(Commodities!C33="","",Commodities!C33)</f>
        <v/>
      </c>
      <c r="C33" s="10">
        <f>IF(OR($A33="",Production!C33="",Prices!C33=""),"",Production!C33*Prices!C33*(1-Commodities!$E33))</f>
        <v/>
      </c>
      <c r="D33" s="10">
        <f>IF(OR($A33="",Production!D33="",Prices!D33=""),"",Production!D33*Prices!D33*(1-Commodities!$E33))</f>
        <v/>
      </c>
      <c r="E33" s="10">
        <f>IF(OR($A33="",Production!E33="",Prices!E33=""),"",Production!E33*Prices!E33*(1-Commodities!$E33))</f>
        <v/>
      </c>
      <c r="F33" s="10">
        <f>IF(OR($A33="",Production!F33="",Prices!F33=""),"",Production!F33*Prices!F33*(1-Commodities!$E33))</f>
        <v/>
      </c>
      <c r="G33" s="10">
        <f>IF(OR($A33="",Production!G33="",Prices!G33=""),"",Production!G33*Prices!G33*(1-Commodities!$E33))</f>
        <v/>
      </c>
      <c r="H33" s="10">
        <f>IF(OR($A33="",Production!H33="",Prices!H33=""),"",Production!H33*Prices!H33*(1-Commodities!$E33))</f>
        <v/>
      </c>
      <c r="I33" s="10">
        <f>IF(OR($A33="",Production!I33="",Prices!I33=""),"",Production!I33*Prices!I33*(1-Commodities!$E33))</f>
        <v/>
      </c>
      <c r="J33" s="10">
        <f>IF(OR($A33="",Production!J33="",Prices!J33=""),"",Production!J33*Prices!J33*(1-Commodities!$E33))</f>
        <v/>
      </c>
    </row>
    <row r="34">
      <c r="A34" s="7">
        <f>IF(Commodities!B34="","",Commodities!B34)</f>
        <v/>
      </c>
      <c r="B34" s="7">
        <f>IF(Commodities!C34="","",Commodities!C34)</f>
        <v/>
      </c>
      <c r="C34" s="10">
        <f>IF(OR($A34="",Production!C34="",Prices!C34=""),"",Production!C34*Prices!C34*(1-Commodities!$E34))</f>
        <v/>
      </c>
      <c r="D34" s="10">
        <f>IF(OR($A34="",Production!D34="",Prices!D34=""),"",Production!D34*Prices!D34*(1-Commodities!$E34))</f>
        <v/>
      </c>
      <c r="E34" s="10">
        <f>IF(OR($A34="",Production!E34="",Prices!E34=""),"",Production!E34*Prices!E34*(1-Commodities!$E34))</f>
        <v/>
      </c>
      <c r="F34" s="10">
        <f>IF(OR($A34="",Production!F34="",Prices!F34=""),"",Production!F34*Prices!F34*(1-Commodities!$E34))</f>
        <v/>
      </c>
      <c r="G34" s="10">
        <f>IF(OR($A34="",Production!G34="",Prices!G34=""),"",Production!G34*Prices!G34*(1-Commodities!$E34))</f>
        <v/>
      </c>
      <c r="H34" s="10">
        <f>IF(OR($A34="",Production!H34="",Prices!H34=""),"",Production!H34*Prices!H34*(1-Commodities!$E34))</f>
        <v/>
      </c>
      <c r="I34" s="10">
        <f>IF(OR($A34="",Production!I34="",Prices!I34=""),"",Production!I34*Prices!I34*(1-Commodities!$E34))</f>
        <v/>
      </c>
      <c r="J34" s="10">
        <f>IF(OR($A34="",Production!J34="",Prices!J34=""),"",Production!J34*Prices!J34*(1-Commodities!$E34))</f>
        <v/>
      </c>
    </row>
    <row r="35">
      <c r="A35" s="7">
        <f>IF(Commodities!B35="","",Commodities!B35)</f>
        <v/>
      </c>
      <c r="B35" s="7">
        <f>IF(Commodities!C35="","",Commodities!C35)</f>
        <v/>
      </c>
      <c r="C35" s="10">
        <f>IF(OR($A35="",Production!C35="",Prices!C35=""),"",Production!C35*Prices!C35*(1-Commodities!$E35))</f>
        <v/>
      </c>
      <c r="D35" s="10">
        <f>IF(OR($A35="",Production!D35="",Prices!D35=""),"",Production!D35*Prices!D35*(1-Commodities!$E35))</f>
        <v/>
      </c>
      <c r="E35" s="10">
        <f>IF(OR($A35="",Production!E35="",Prices!E35=""),"",Production!E35*Prices!E35*(1-Commodities!$E35))</f>
        <v/>
      </c>
      <c r="F35" s="10">
        <f>IF(OR($A35="",Production!F35="",Prices!F35=""),"",Production!F35*Prices!F35*(1-Commodities!$E35))</f>
        <v/>
      </c>
      <c r="G35" s="10">
        <f>IF(OR($A35="",Production!G35="",Prices!G35=""),"",Production!G35*Prices!G35*(1-Commodities!$E35))</f>
        <v/>
      </c>
      <c r="H35" s="10">
        <f>IF(OR($A35="",Production!H35="",Prices!H35=""),"",Production!H35*Prices!H35*(1-Commodities!$E35))</f>
        <v/>
      </c>
      <c r="I35" s="10">
        <f>IF(OR($A35="",Production!I35="",Prices!I35=""),"",Production!I35*Prices!I35*(1-Commodities!$E35))</f>
        <v/>
      </c>
      <c r="J35" s="10">
        <f>IF(OR($A35="",Production!J35="",Prices!J35=""),"",Production!J35*Prices!J35*(1-Commodities!$E35))</f>
        <v/>
      </c>
    </row>
    <row r="36">
      <c r="A36" s="7">
        <f>IF(Commodities!B36="","",Commodities!B36)</f>
        <v/>
      </c>
      <c r="B36" s="7">
        <f>IF(Commodities!C36="","",Commodities!C36)</f>
        <v/>
      </c>
      <c r="C36" s="10">
        <f>IF(OR($A36="",Production!C36="",Prices!C36=""),"",Production!C36*Prices!C36*(1-Commodities!$E36))</f>
        <v/>
      </c>
      <c r="D36" s="10">
        <f>IF(OR($A36="",Production!D36="",Prices!D36=""),"",Production!D36*Prices!D36*(1-Commodities!$E36))</f>
        <v/>
      </c>
      <c r="E36" s="10">
        <f>IF(OR($A36="",Production!E36="",Prices!E36=""),"",Production!E36*Prices!E36*(1-Commodities!$E36))</f>
        <v/>
      </c>
      <c r="F36" s="10">
        <f>IF(OR($A36="",Production!F36="",Prices!F36=""),"",Production!F36*Prices!F36*(1-Commodities!$E36))</f>
        <v/>
      </c>
      <c r="G36" s="10">
        <f>IF(OR($A36="",Production!G36="",Prices!G36=""),"",Production!G36*Prices!G36*(1-Commodities!$E36))</f>
        <v/>
      </c>
      <c r="H36" s="10">
        <f>IF(OR($A36="",Production!H36="",Prices!H36=""),"",Production!H36*Prices!H36*(1-Commodities!$E36))</f>
        <v/>
      </c>
      <c r="I36" s="10">
        <f>IF(OR($A36="",Production!I36="",Prices!I36=""),"",Production!I36*Prices!I36*(1-Commodities!$E36))</f>
        <v/>
      </c>
      <c r="J36" s="10">
        <f>IF(OR($A36="",Production!J36="",Prices!J36=""),"",Production!J36*Prices!J36*(1-Commodities!$E36))</f>
        <v/>
      </c>
    </row>
    <row r="37">
      <c r="A37" s="7">
        <f>IF(Commodities!B37="","",Commodities!B37)</f>
        <v/>
      </c>
      <c r="B37" s="7">
        <f>IF(Commodities!C37="","",Commodities!C37)</f>
        <v/>
      </c>
      <c r="C37" s="10">
        <f>IF(OR($A37="",Production!C37="",Prices!C37=""),"",Production!C37*Prices!C37*(1-Commodities!$E37))</f>
        <v/>
      </c>
      <c r="D37" s="10">
        <f>IF(OR($A37="",Production!D37="",Prices!D37=""),"",Production!D37*Prices!D37*(1-Commodities!$E37))</f>
        <v/>
      </c>
      <c r="E37" s="10">
        <f>IF(OR($A37="",Production!E37="",Prices!E37=""),"",Production!E37*Prices!E37*(1-Commodities!$E37))</f>
        <v/>
      </c>
      <c r="F37" s="10">
        <f>IF(OR($A37="",Production!F37="",Prices!F37=""),"",Production!F37*Prices!F37*(1-Commodities!$E37))</f>
        <v/>
      </c>
      <c r="G37" s="10">
        <f>IF(OR($A37="",Production!G37="",Prices!G37=""),"",Production!G37*Prices!G37*(1-Commodities!$E37))</f>
        <v/>
      </c>
      <c r="H37" s="10">
        <f>IF(OR($A37="",Production!H37="",Prices!H37=""),"",Production!H37*Prices!H37*(1-Commodities!$E37))</f>
        <v/>
      </c>
      <c r="I37" s="10">
        <f>IF(OR($A37="",Production!I37="",Prices!I37=""),"",Production!I37*Prices!I37*(1-Commodities!$E37))</f>
        <v/>
      </c>
      <c r="J37" s="10">
        <f>IF(OR($A37="",Production!J37="",Prices!J37=""),"",Production!J37*Prices!J37*(1-Commodities!$E37))</f>
        <v/>
      </c>
    </row>
    <row r="38">
      <c r="A38" s="7">
        <f>IF(Commodities!B38="","",Commodities!B38)</f>
        <v/>
      </c>
      <c r="B38" s="7">
        <f>IF(Commodities!C38="","",Commodities!C38)</f>
        <v/>
      </c>
      <c r="C38" s="10">
        <f>IF(OR($A38="",Production!C38="",Prices!C38=""),"",Production!C38*Prices!C38*(1-Commodities!$E38))</f>
        <v/>
      </c>
      <c r="D38" s="10">
        <f>IF(OR($A38="",Production!D38="",Prices!D38=""),"",Production!D38*Prices!D38*(1-Commodities!$E38))</f>
        <v/>
      </c>
      <c r="E38" s="10">
        <f>IF(OR($A38="",Production!E38="",Prices!E38=""),"",Production!E38*Prices!E38*(1-Commodities!$E38))</f>
        <v/>
      </c>
      <c r="F38" s="10">
        <f>IF(OR($A38="",Production!F38="",Prices!F38=""),"",Production!F38*Prices!F38*(1-Commodities!$E38))</f>
        <v/>
      </c>
      <c r="G38" s="10">
        <f>IF(OR($A38="",Production!G38="",Prices!G38=""),"",Production!G38*Prices!G38*(1-Commodities!$E38))</f>
        <v/>
      </c>
      <c r="H38" s="10">
        <f>IF(OR($A38="",Production!H38="",Prices!H38=""),"",Production!H38*Prices!H38*(1-Commodities!$E38))</f>
        <v/>
      </c>
      <c r="I38" s="10">
        <f>IF(OR($A38="",Production!I38="",Prices!I38=""),"",Production!I38*Prices!I38*(1-Commodities!$E38))</f>
        <v/>
      </c>
      <c r="J38" s="10">
        <f>IF(OR($A38="",Production!J38="",Prices!J38=""),"",Production!J38*Prices!J38*(1-Commodities!$E38))</f>
        <v/>
      </c>
    </row>
    <row r="39">
      <c r="A39" s="7">
        <f>IF(Commodities!B39="","",Commodities!B39)</f>
        <v/>
      </c>
      <c r="B39" s="7">
        <f>IF(Commodities!C39="","",Commodities!C39)</f>
        <v/>
      </c>
      <c r="C39" s="10">
        <f>IF(OR($A39="",Production!C39="",Prices!C39=""),"",Production!C39*Prices!C39*(1-Commodities!$E39))</f>
        <v/>
      </c>
      <c r="D39" s="10">
        <f>IF(OR($A39="",Production!D39="",Prices!D39=""),"",Production!D39*Prices!D39*(1-Commodities!$E39))</f>
        <v/>
      </c>
      <c r="E39" s="10">
        <f>IF(OR($A39="",Production!E39="",Prices!E39=""),"",Production!E39*Prices!E39*(1-Commodities!$E39))</f>
        <v/>
      </c>
      <c r="F39" s="10">
        <f>IF(OR($A39="",Production!F39="",Prices!F39=""),"",Production!F39*Prices!F39*(1-Commodities!$E39))</f>
        <v/>
      </c>
      <c r="G39" s="10">
        <f>IF(OR($A39="",Production!G39="",Prices!G39=""),"",Production!G39*Prices!G39*(1-Commodities!$E39))</f>
        <v/>
      </c>
      <c r="H39" s="10">
        <f>IF(OR($A39="",Production!H39="",Prices!H39=""),"",Production!H39*Prices!H39*(1-Commodities!$E39))</f>
        <v/>
      </c>
      <c r="I39" s="10">
        <f>IF(OR($A39="",Production!I39="",Prices!I39=""),"",Production!I39*Prices!I39*(1-Commodities!$E39))</f>
        <v/>
      </c>
      <c r="J39" s="10">
        <f>IF(OR($A39="",Production!J39="",Prices!J39=""),"",Production!J39*Prices!J39*(1-Commodities!$E39))</f>
        <v/>
      </c>
    </row>
    <row r="40">
      <c r="A40" s="7">
        <f>IF(Commodities!B40="","",Commodities!B40)</f>
        <v/>
      </c>
      <c r="B40" s="7">
        <f>IF(Commodities!C40="","",Commodities!C40)</f>
        <v/>
      </c>
      <c r="C40" s="10">
        <f>IF(OR($A40="",Production!C40="",Prices!C40=""),"",Production!C40*Prices!C40*(1-Commodities!$E40))</f>
        <v/>
      </c>
      <c r="D40" s="10">
        <f>IF(OR($A40="",Production!D40="",Prices!D40=""),"",Production!D40*Prices!D40*(1-Commodities!$E40))</f>
        <v/>
      </c>
      <c r="E40" s="10">
        <f>IF(OR($A40="",Production!E40="",Prices!E40=""),"",Production!E40*Prices!E40*(1-Commodities!$E40))</f>
        <v/>
      </c>
      <c r="F40" s="10">
        <f>IF(OR($A40="",Production!F40="",Prices!F40=""),"",Production!F40*Prices!F40*(1-Commodities!$E40))</f>
        <v/>
      </c>
      <c r="G40" s="10">
        <f>IF(OR($A40="",Production!G40="",Prices!G40=""),"",Production!G40*Prices!G40*(1-Commodities!$E40))</f>
        <v/>
      </c>
      <c r="H40" s="10">
        <f>IF(OR($A40="",Production!H40="",Prices!H40=""),"",Production!H40*Prices!H40*(1-Commodities!$E40))</f>
        <v/>
      </c>
      <c r="I40" s="10">
        <f>IF(OR($A40="",Production!I40="",Prices!I40=""),"",Production!I40*Prices!I40*(1-Commodities!$E40))</f>
        <v/>
      </c>
      <c r="J40" s="10">
        <f>IF(OR($A40="",Production!J40="",Prices!J40=""),"",Production!J40*Prices!J40*(1-Commodities!$E40))</f>
        <v/>
      </c>
    </row>
    <row r="41">
      <c r="A41" s="7">
        <f>IF(Commodities!B41="","",Commodities!B41)</f>
        <v/>
      </c>
      <c r="B41" s="7">
        <f>IF(Commodities!C41="","",Commodities!C41)</f>
        <v/>
      </c>
      <c r="C41" s="10">
        <f>IF(OR($A41="",Production!C41="",Prices!C41=""),"",Production!C41*Prices!C41*(1-Commodities!$E41))</f>
        <v/>
      </c>
      <c r="D41" s="10">
        <f>IF(OR($A41="",Production!D41="",Prices!D41=""),"",Production!D41*Prices!D41*(1-Commodities!$E41))</f>
        <v/>
      </c>
      <c r="E41" s="10">
        <f>IF(OR($A41="",Production!E41="",Prices!E41=""),"",Production!E41*Prices!E41*(1-Commodities!$E41))</f>
        <v/>
      </c>
      <c r="F41" s="10">
        <f>IF(OR($A41="",Production!F41="",Prices!F41=""),"",Production!F41*Prices!F41*(1-Commodities!$E41))</f>
        <v/>
      </c>
      <c r="G41" s="10">
        <f>IF(OR($A41="",Production!G41="",Prices!G41=""),"",Production!G41*Prices!G41*(1-Commodities!$E41))</f>
        <v/>
      </c>
      <c r="H41" s="10">
        <f>IF(OR($A41="",Production!H41="",Prices!H41=""),"",Production!H41*Prices!H41*(1-Commodities!$E41))</f>
        <v/>
      </c>
      <c r="I41" s="10">
        <f>IF(OR($A41="",Production!I41="",Prices!I41=""),"",Production!I41*Prices!I41*(1-Commodities!$E41))</f>
        <v/>
      </c>
      <c r="J41" s="10">
        <f>IF(OR($A41="",Production!J41="",Prices!J41=""),"",Production!J41*Prices!J41*(1-Commodities!$E41))</f>
        <v/>
      </c>
    </row>
    <row r="43">
      <c r="A43" s="11" t="inlineStr">
        <is>
          <t>TOTAL commodity GVA</t>
        </is>
      </c>
      <c r="B43" s="12" t="n"/>
      <c r="C43" s="13">
        <f>SUM(C2:C41)</f>
        <v/>
      </c>
      <c r="D43" s="13">
        <f>SUM(D2:D41)</f>
        <v/>
      </c>
      <c r="E43" s="13">
        <f>SUM(E2:E41)</f>
        <v/>
      </c>
      <c r="F43" s="13">
        <f>SUM(F2:F41)</f>
        <v/>
      </c>
      <c r="G43" s="13">
        <f>SUM(G2:G41)</f>
        <v/>
      </c>
      <c r="H43" s="13">
        <f>SUM(H2:H41)</f>
        <v/>
      </c>
      <c r="I43" s="13">
        <f>SUM(I2:I41)</f>
        <v/>
      </c>
      <c r="J43" s="13">
        <f>SUM(J2:J41)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2" max="12"/>
  </cols>
  <sheetData>
    <row r="1">
      <c r="A1" s="5" t="inlineStr">
        <is>
          <t>Commodity</t>
        </is>
      </c>
      <c r="B1" s="5" t="inlineStr">
        <is>
          <t>Sector</t>
        </is>
      </c>
      <c r="C1" s="5">
        <f>Production!C$1</f>
        <v/>
      </c>
      <c r="D1" s="5">
        <f>Production!D$1</f>
        <v/>
      </c>
      <c r="E1" s="5">
        <f>Production!E$1</f>
        <v/>
      </c>
      <c r="F1" s="5">
        <f>Production!F$1</f>
        <v/>
      </c>
      <c r="G1" s="5">
        <f>Production!G$1</f>
        <v/>
      </c>
      <c r="H1" s="5">
        <f>Production!H$1</f>
        <v/>
      </c>
      <c r="I1" s="5">
        <f>Production!I$1</f>
        <v/>
      </c>
      <c r="J1" s="5">
        <f>Production!J$1</f>
        <v/>
      </c>
      <c r="L1" s="14" t="inlineStr">
        <is>
          <t>Base-year price</t>
        </is>
      </c>
    </row>
    <row r="2">
      <c r="A2" s="7">
        <f>IF(Commodities!B2="","",Commodities!B2)</f>
        <v/>
      </c>
      <c r="B2" s="7">
        <f>IF(Commodities!C2="","",Commodities!C2)</f>
        <v/>
      </c>
      <c r="C2" s="10">
        <f>IF(OR($A2="",Production!C2="",$L2=""),"",Production!C2*$L2*(1-Commodities!$E2))</f>
        <v/>
      </c>
      <c r="D2" s="10">
        <f>IF(OR($A2="",Production!D2="",$L2=""),"",Production!D2*$L2*(1-Commodities!$E2))</f>
        <v/>
      </c>
      <c r="E2" s="10">
        <f>IF(OR($A2="",Production!E2="",$L2=""),"",Production!E2*$L2*(1-Commodities!$E2))</f>
        <v/>
      </c>
      <c r="F2" s="10">
        <f>IF(OR($A2="",Production!F2="",$L2=""),"",Production!F2*$L2*(1-Commodities!$E2))</f>
        <v/>
      </c>
      <c r="G2" s="10">
        <f>IF(OR($A2="",Production!G2="",$L2=""),"",Production!G2*$L2*(1-Commodities!$E2))</f>
        <v/>
      </c>
      <c r="H2" s="10">
        <f>IF(OR($A2="",Production!H2="",$L2=""),"",Production!H2*$L2*(1-Commodities!$E2))</f>
        <v/>
      </c>
      <c r="I2" s="10">
        <f>IF(OR($A2="",Production!I2="",$L2=""),"",Production!I2*$L2*(1-Commodities!$E2))</f>
        <v/>
      </c>
      <c r="J2" s="10">
        <f>IF(OR($A2="",Production!J2="",$L2=""),"",Production!J2*$L2*(1-Commodities!$E2))</f>
        <v/>
      </c>
      <c r="L2" s="15">
        <f>IF($A2="","",IFERROR(INDEX(Prices!$C2:$J2,MATCH(Settings!$B$4,Prices!$C$1:$J$1,0)),""))</f>
        <v/>
      </c>
    </row>
    <row r="3">
      <c r="A3" s="7">
        <f>IF(Commodities!B3="","",Commodities!B3)</f>
        <v/>
      </c>
      <c r="B3" s="7">
        <f>IF(Commodities!C3="","",Commodities!C3)</f>
        <v/>
      </c>
      <c r="C3" s="10">
        <f>IF(OR($A3="",Production!C3="",$L3=""),"",Production!C3*$L3*(1-Commodities!$E3))</f>
        <v/>
      </c>
      <c r="D3" s="10">
        <f>IF(OR($A3="",Production!D3="",$L3=""),"",Production!D3*$L3*(1-Commodities!$E3))</f>
        <v/>
      </c>
      <c r="E3" s="10">
        <f>IF(OR($A3="",Production!E3="",$L3=""),"",Production!E3*$L3*(1-Commodities!$E3))</f>
        <v/>
      </c>
      <c r="F3" s="10">
        <f>IF(OR($A3="",Production!F3="",$L3=""),"",Production!F3*$L3*(1-Commodities!$E3))</f>
        <v/>
      </c>
      <c r="G3" s="10">
        <f>IF(OR($A3="",Production!G3="",$L3=""),"",Production!G3*$L3*(1-Commodities!$E3))</f>
        <v/>
      </c>
      <c r="H3" s="10">
        <f>IF(OR($A3="",Production!H3="",$L3=""),"",Production!H3*$L3*(1-Commodities!$E3))</f>
        <v/>
      </c>
      <c r="I3" s="10">
        <f>IF(OR($A3="",Production!I3="",$L3=""),"",Production!I3*$L3*(1-Commodities!$E3))</f>
        <v/>
      </c>
      <c r="J3" s="10">
        <f>IF(OR($A3="",Production!J3="",$L3=""),"",Production!J3*$L3*(1-Commodities!$E3))</f>
        <v/>
      </c>
      <c r="L3" s="15">
        <f>IF($A3="","",IFERROR(INDEX(Prices!$C3:$J3,MATCH(Settings!$B$4,Prices!$C$1:$J$1,0)),""))</f>
        <v/>
      </c>
    </row>
    <row r="4">
      <c r="A4" s="7">
        <f>IF(Commodities!B4="","",Commodities!B4)</f>
        <v/>
      </c>
      <c r="B4" s="7">
        <f>IF(Commodities!C4="","",Commodities!C4)</f>
        <v/>
      </c>
      <c r="C4" s="10">
        <f>IF(OR($A4="",Production!C4="",$L4=""),"",Production!C4*$L4*(1-Commodities!$E4))</f>
        <v/>
      </c>
      <c r="D4" s="10">
        <f>IF(OR($A4="",Production!D4="",$L4=""),"",Production!D4*$L4*(1-Commodities!$E4))</f>
        <v/>
      </c>
      <c r="E4" s="10">
        <f>IF(OR($A4="",Production!E4="",$L4=""),"",Production!E4*$L4*(1-Commodities!$E4))</f>
        <v/>
      </c>
      <c r="F4" s="10">
        <f>IF(OR($A4="",Production!F4="",$L4=""),"",Production!F4*$L4*(1-Commodities!$E4))</f>
        <v/>
      </c>
      <c r="G4" s="10">
        <f>IF(OR($A4="",Production!G4="",$L4=""),"",Production!G4*$L4*(1-Commodities!$E4))</f>
        <v/>
      </c>
      <c r="H4" s="10">
        <f>IF(OR($A4="",Production!H4="",$L4=""),"",Production!H4*$L4*(1-Commodities!$E4))</f>
        <v/>
      </c>
      <c r="I4" s="10">
        <f>IF(OR($A4="",Production!I4="",$L4=""),"",Production!I4*$L4*(1-Commodities!$E4))</f>
        <v/>
      </c>
      <c r="J4" s="10">
        <f>IF(OR($A4="",Production!J4="",$L4=""),"",Production!J4*$L4*(1-Commodities!$E4))</f>
        <v/>
      </c>
      <c r="L4" s="15">
        <f>IF($A4="","",IFERROR(INDEX(Prices!$C4:$J4,MATCH(Settings!$B$4,Prices!$C$1:$J$1,0)),""))</f>
        <v/>
      </c>
    </row>
    <row r="5">
      <c r="A5" s="7">
        <f>IF(Commodities!B5="","",Commodities!B5)</f>
        <v/>
      </c>
      <c r="B5" s="7">
        <f>IF(Commodities!C5="","",Commodities!C5)</f>
        <v/>
      </c>
      <c r="C5" s="10">
        <f>IF(OR($A5="",Production!C5="",$L5=""),"",Production!C5*$L5*(1-Commodities!$E5))</f>
        <v/>
      </c>
      <c r="D5" s="10">
        <f>IF(OR($A5="",Production!D5="",$L5=""),"",Production!D5*$L5*(1-Commodities!$E5))</f>
        <v/>
      </c>
      <c r="E5" s="10">
        <f>IF(OR($A5="",Production!E5="",$L5=""),"",Production!E5*$L5*(1-Commodities!$E5))</f>
        <v/>
      </c>
      <c r="F5" s="10">
        <f>IF(OR($A5="",Production!F5="",$L5=""),"",Production!F5*$L5*(1-Commodities!$E5))</f>
        <v/>
      </c>
      <c r="G5" s="10">
        <f>IF(OR($A5="",Production!G5="",$L5=""),"",Production!G5*$L5*(1-Commodities!$E5))</f>
        <v/>
      </c>
      <c r="H5" s="10">
        <f>IF(OR($A5="",Production!H5="",$L5=""),"",Production!H5*$L5*(1-Commodities!$E5))</f>
        <v/>
      </c>
      <c r="I5" s="10">
        <f>IF(OR($A5="",Production!I5="",$L5=""),"",Production!I5*$L5*(1-Commodities!$E5))</f>
        <v/>
      </c>
      <c r="J5" s="10">
        <f>IF(OR($A5="",Production!J5="",$L5=""),"",Production!J5*$L5*(1-Commodities!$E5))</f>
        <v/>
      </c>
      <c r="L5" s="15">
        <f>IF($A5="","",IFERROR(INDEX(Prices!$C5:$J5,MATCH(Settings!$B$4,Prices!$C$1:$J$1,0)),""))</f>
        <v/>
      </c>
    </row>
    <row r="6">
      <c r="A6" s="7">
        <f>IF(Commodities!B6="","",Commodities!B6)</f>
        <v/>
      </c>
      <c r="B6" s="7">
        <f>IF(Commodities!C6="","",Commodities!C6)</f>
        <v/>
      </c>
      <c r="C6" s="10">
        <f>IF(OR($A6="",Production!C6="",$L6=""),"",Production!C6*$L6*(1-Commodities!$E6))</f>
        <v/>
      </c>
      <c r="D6" s="10">
        <f>IF(OR($A6="",Production!D6="",$L6=""),"",Production!D6*$L6*(1-Commodities!$E6))</f>
        <v/>
      </c>
      <c r="E6" s="10">
        <f>IF(OR($A6="",Production!E6="",$L6=""),"",Production!E6*$L6*(1-Commodities!$E6))</f>
        <v/>
      </c>
      <c r="F6" s="10">
        <f>IF(OR($A6="",Production!F6="",$L6=""),"",Production!F6*$L6*(1-Commodities!$E6))</f>
        <v/>
      </c>
      <c r="G6" s="10">
        <f>IF(OR($A6="",Production!G6="",$L6=""),"",Production!G6*$L6*(1-Commodities!$E6))</f>
        <v/>
      </c>
      <c r="H6" s="10">
        <f>IF(OR($A6="",Production!H6="",$L6=""),"",Production!H6*$L6*(1-Commodities!$E6))</f>
        <v/>
      </c>
      <c r="I6" s="10">
        <f>IF(OR($A6="",Production!I6="",$L6=""),"",Production!I6*$L6*(1-Commodities!$E6))</f>
        <v/>
      </c>
      <c r="J6" s="10">
        <f>IF(OR($A6="",Production!J6="",$L6=""),"",Production!J6*$L6*(1-Commodities!$E6))</f>
        <v/>
      </c>
      <c r="L6" s="15">
        <f>IF($A6="","",IFERROR(INDEX(Prices!$C6:$J6,MATCH(Settings!$B$4,Prices!$C$1:$J$1,0)),""))</f>
        <v/>
      </c>
    </row>
    <row r="7">
      <c r="A7" s="7">
        <f>IF(Commodities!B7="","",Commodities!B7)</f>
        <v/>
      </c>
      <c r="B7" s="7">
        <f>IF(Commodities!C7="","",Commodities!C7)</f>
        <v/>
      </c>
      <c r="C7" s="10">
        <f>IF(OR($A7="",Production!C7="",$L7=""),"",Production!C7*$L7*(1-Commodities!$E7))</f>
        <v/>
      </c>
      <c r="D7" s="10">
        <f>IF(OR($A7="",Production!D7="",$L7=""),"",Production!D7*$L7*(1-Commodities!$E7))</f>
        <v/>
      </c>
      <c r="E7" s="10">
        <f>IF(OR($A7="",Production!E7="",$L7=""),"",Production!E7*$L7*(1-Commodities!$E7))</f>
        <v/>
      </c>
      <c r="F7" s="10">
        <f>IF(OR($A7="",Production!F7="",$L7=""),"",Production!F7*$L7*(1-Commodities!$E7))</f>
        <v/>
      </c>
      <c r="G7" s="10">
        <f>IF(OR($A7="",Production!G7="",$L7=""),"",Production!G7*$L7*(1-Commodities!$E7))</f>
        <v/>
      </c>
      <c r="H7" s="10">
        <f>IF(OR($A7="",Production!H7="",$L7=""),"",Production!H7*$L7*(1-Commodities!$E7))</f>
        <v/>
      </c>
      <c r="I7" s="10">
        <f>IF(OR($A7="",Production!I7="",$L7=""),"",Production!I7*$L7*(1-Commodities!$E7))</f>
        <v/>
      </c>
      <c r="J7" s="10">
        <f>IF(OR($A7="",Production!J7="",$L7=""),"",Production!J7*$L7*(1-Commodities!$E7))</f>
        <v/>
      </c>
      <c r="L7" s="15">
        <f>IF($A7="","",IFERROR(INDEX(Prices!$C7:$J7,MATCH(Settings!$B$4,Prices!$C$1:$J$1,0)),""))</f>
        <v/>
      </c>
    </row>
    <row r="8">
      <c r="A8" s="7">
        <f>IF(Commodities!B8="","",Commodities!B8)</f>
        <v/>
      </c>
      <c r="B8" s="7">
        <f>IF(Commodities!C8="","",Commodities!C8)</f>
        <v/>
      </c>
      <c r="C8" s="10">
        <f>IF(OR($A8="",Production!C8="",$L8=""),"",Production!C8*$L8*(1-Commodities!$E8))</f>
        <v/>
      </c>
      <c r="D8" s="10">
        <f>IF(OR($A8="",Production!D8="",$L8=""),"",Production!D8*$L8*(1-Commodities!$E8))</f>
        <v/>
      </c>
      <c r="E8" s="10">
        <f>IF(OR($A8="",Production!E8="",$L8=""),"",Production!E8*$L8*(1-Commodities!$E8))</f>
        <v/>
      </c>
      <c r="F8" s="10">
        <f>IF(OR($A8="",Production!F8="",$L8=""),"",Production!F8*$L8*(1-Commodities!$E8))</f>
        <v/>
      </c>
      <c r="G8" s="10">
        <f>IF(OR($A8="",Production!G8="",$L8=""),"",Production!G8*$L8*(1-Commodities!$E8))</f>
        <v/>
      </c>
      <c r="H8" s="10">
        <f>IF(OR($A8="",Production!H8="",$L8=""),"",Production!H8*$L8*(1-Commodities!$E8))</f>
        <v/>
      </c>
      <c r="I8" s="10">
        <f>IF(OR($A8="",Production!I8="",$L8=""),"",Production!I8*$L8*(1-Commodities!$E8))</f>
        <v/>
      </c>
      <c r="J8" s="10">
        <f>IF(OR($A8="",Production!J8="",$L8=""),"",Production!J8*$L8*(1-Commodities!$E8))</f>
        <v/>
      </c>
      <c r="L8" s="15">
        <f>IF($A8="","",IFERROR(INDEX(Prices!$C8:$J8,MATCH(Settings!$B$4,Prices!$C$1:$J$1,0)),""))</f>
        <v/>
      </c>
    </row>
    <row r="9">
      <c r="A9" s="7">
        <f>IF(Commodities!B9="","",Commodities!B9)</f>
        <v/>
      </c>
      <c r="B9" s="7">
        <f>IF(Commodities!C9="","",Commodities!C9)</f>
        <v/>
      </c>
      <c r="C9" s="10">
        <f>IF(OR($A9="",Production!C9="",$L9=""),"",Production!C9*$L9*(1-Commodities!$E9))</f>
        <v/>
      </c>
      <c r="D9" s="10">
        <f>IF(OR($A9="",Production!D9="",$L9=""),"",Production!D9*$L9*(1-Commodities!$E9))</f>
        <v/>
      </c>
      <c r="E9" s="10">
        <f>IF(OR($A9="",Production!E9="",$L9=""),"",Production!E9*$L9*(1-Commodities!$E9))</f>
        <v/>
      </c>
      <c r="F9" s="10">
        <f>IF(OR($A9="",Production!F9="",$L9=""),"",Production!F9*$L9*(1-Commodities!$E9))</f>
        <v/>
      </c>
      <c r="G9" s="10">
        <f>IF(OR($A9="",Production!G9="",$L9=""),"",Production!G9*$L9*(1-Commodities!$E9))</f>
        <v/>
      </c>
      <c r="H9" s="10">
        <f>IF(OR($A9="",Production!H9="",$L9=""),"",Production!H9*$L9*(1-Commodities!$E9))</f>
        <v/>
      </c>
      <c r="I9" s="10">
        <f>IF(OR($A9="",Production!I9="",$L9=""),"",Production!I9*$L9*(1-Commodities!$E9))</f>
        <v/>
      </c>
      <c r="J9" s="10">
        <f>IF(OR($A9="",Production!J9="",$L9=""),"",Production!J9*$L9*(1-Commodities!$E9))</f>
        <v/>
      </c>
      <c r="L9" s="15">
        <f>IF($A9="","",IFERROR(INDEX(Prices!$C9:$J9,MATCH(Settings!$B$4,Prices!$C$1:$J$1,0)),""))</f>
        <v/>
      </c>
    </row>
    <row r="10">
      <c r="A10" s="7">
        <f>IF(Commodities!B10="","",Commodities!B10)</f>
        <v/>
      </c>
      <c r="B10" s="7">
        <f>IF(Commodities!C10="","",Commodities!C10)</f>
        <v/>
      </c>
      <c r="C10" s="10">
        <f>IF(OR($A10="",Production!C10="",$L10=""),"",Production!C10*$L10*(1-Commodities!$E10))</f>
        <v/>
      </c>
      <c r="D10" s="10">
        <f>IF(OR($A10="",Production!D10="",$L10=""),"",Production!D10*$L10*(1-Commodities!$E10))</f>
        <v/>
      </c>
      <c r="E10" s="10">
        <f>IF(OR($A10="",Production!E10="",$L10=""),"",Production!E10*$L10*(1-Commodities!$E10))</f>
        <v/>
      </c>
      <c r="F10" s="10">
        <f>IF(OR($A10="",Production!F10="",$L10=""),"",Production!F10*$L10*(1-Commodities!$E10))</f>
        <v/>
      </c>
      <c r="G10" s="10">
        <f>IF(OR($A10="",Production!G10="",$L10=""),"",Production!G10*$L10*(1-Commodities!$E10))</f>
        <v/>
      </c>
      <c r="H10" s="10">
        <f>IF(OR($A10="",Production!H10="",$L10=""),"",Production!H10*$L10*(1-Commodities!$E10))</f>
        <v/>
      </c>
      <c r="I10" s="10">
        <f>IF(OR($A10="",Production!I10="",$L10=""),"",Production!I10*$L10*(1-Commodities!$E10))</f>
        <v/>
      </c>
      <c r="J10" s="10">
        <f>IF(OR($A10="",Production!J10="",$L10=""),"",Production!J10*$L10*(1-Commodities!$E10))</f>
        <v/>
      </c>
      <c r="L10" s="15">
        <f>IF($A10="","",IFERROR(INDEX(Prices!$C10:$J10,MATCH(Settings!$B$4,Prices!$C$1:$J$1,0)),""))</f>
        <v/>
      </c>
    </row>
    <row r="11">
      <c r="A11" s="7">
        <f>IF(Commodities!B11="","",Commodities!B11)</f>
        <v/>
      </c>
      <c r="B11" s="7">
        <f>IF(Commodities!C11="","",Commodities!C11)</f>
        <v/>
      </c>
      <c r="C11" s="10">
        <f>IF(OR($A11="",Production!C11="",$L11=""),"",Production!C11*$L11*(1-Commodities!$E11))</f>
        <v/>
      </c>
      <c r="D11" s="10">
        <f>IF(OR($A11="",Production!D11="",$L11=""),"",Production!D11*$L11*(1-Commodities!$E11))</f>
        <v/>
      </c>
      <c r="E11" s="10">
        <f>IF(OR($A11="",Production!E11="",$L11=""),"",Production!E11*$L11*(1-Commodities!$E11))</f>
        <v/>
      </c>
      <c r="F11" s="10">
        <f>IF(OR($A11="",Production!F11="",$L11=""),"",Production!F11*$L11*(1-Commodities!$E11))</f>
        <v/>
      </c>
      <c r="G11" s="10">
        <f>IF(OR($A11="",Production!G11="",$L11=""),"",Production!G11*$L11*(1-Commodities!$E11))</f>
        <v/>
      </c>
      <c r="H11" s="10">
        <f>IF(OR($A11="",Production!H11="",$L11=""),"",Production!H11*$L11*(1-Commodities!$E11))</f>
        <v/>
      </c>
      <c r="I11" s="10">
        <f>IF(OR($A11="",Production!I11="",$L11=""),"",Production!I11*$L11*(1-Commodities!$E11))</f>
        <v/>
      </c>
      <c r="J11" s="10">
        <f>IF(OR($A11="",Production!J11="",$L11=""),"",Production!J11*$L11*(1-Commodities!$E11))</f>
        <v/>
      </c>
      <c r="L11" s="15">
        <f>IF($A11="","",IFERROR(INDEX(Prices!$C11:$J11,MATCH(Settings!$B$4,Prices!$C$1:$J$1,0)),""))</f>
        <v/>
      </c>
    </row>
    <row r="12">
      <c r="A12" s="7">
        <f>IF(Commodities!B12="","",Commodities!B12)</f>
        <v/>
      </c>
      <c r="B12" s="7">
        <f>IF(Commodities!C12="","",Commodities!C12)</f>
        <v/>
      </c>
      <c r="C12" s="10">
        <f>IF(OR($A12="",Production!C12="",$L12=""),"",Production!C12*$L12*(1-Commodities!$E12))</f>
        <v/>
      </c>
      <c r="D12" s="10">
        <f>IF(OR($A12="",Production!D12="",$L12=""),"",Production!D12*$L12*(1-Commodities!$E12))</f>
        <v/>
      </c>
      <c r="E12" s="10">
        <f>IF(OR($A12="",Production!E12="",$L12=""),"",Production!E12*$L12*(1-Commodities!$E12))</f>
        <v/>
      </c>
      <c r="F12" s="10">
        <f>IF(OR($A12="",Production!F12="",$L12=""),"",Production!F12*$L12*(1-Commodities!$E12))</f>
        <v/>
      </c>
      <c r="G12" s="10">
        <f>IF(OR($A12="",Production!G12="",$L12=""),"",Production!G12*$L12*(1-Commodities!$E12))</f>
        <v/>
      </c>
      <c r="H12" s="10">
        <f>IF(OR($A12="",Production!H12="",$L12=""),"",Production!H12*$L12*(1-Commodities!$E12))</f>
        <v/>
      </c>
      <c r="I12" s="10">
        <f>IF(OR($A12="",Production!I12="",$L12=""),"",Production!I12*$L12*(1-Commodities!$E12))</f>
        <v/>
      </c>
      <c r="J12" s="10">
        <f>IF(OR($A12="",Production!J12="",$L12=""),"",Production!J12*$L12*(1-Commodities!$E12))</f>
        <v/>
      </c>
      <c r="L12" s="15">
        <f>IF($A12="","",IFERROR(INDEX(Prices!$C12:$J12,MATCH(Settings!$B$4,Prices!$C$1:$J$1,0)),""))</f>
        <v/>
      </c>
    </row>
    <row r="13">
      <c r="A13" s="7">
        <f>IF(Commodities!B13="","",Commodities!B13)</f>
        <v/>
      </c>
      <c r="B13" s="7">
        <f>IF(Commodities!C13="","",Commodities!C13)</f>
        <v/>
      </c>
      <c r="C13" s="10">
        <f>IF(OR($A13="",Production!C13="",$L13=""),"",Production!C13*$L13*(1-Commodities!$E13))</f>
        <v/>
      </c>
      <c r="D13" s="10">
        <f>IF(OR($A13="",Production!D13="",$L13=""),"",Production!D13*$L13*(1-Commodities!$E13))</f>
        <v/>
      </c>
      <c r="E13" s="10">
        <f>IF(OR($A13="",Production!E13="",$L13=""),"",Production!E13*$L13*(1-Commodities!$E13))</f>
        <v/>
      </c>
      <c r="F13" s="10">
        <f>IF(OR($A13="",Production!F13="",$L13=""),"",Production!F13*$L13*(1-Commodities!$E13))</f>
        <v/>
      </c>
      <c r="G13" s="10">
        <f>IF(OR($A13="",Production!G13="",$L13=""),"",Production!G13*$L13*(1-Commodities!$E13))</f>
        <v/>
      </c>
      <c r="H13" s="10">
        <f>IF(OR($A13="",Production!H13="",$L13=""),"",Production!H13*$L13*(1-Commodities!$E13))</f>
        <v/>
      </c>
      <c r="I13" s="10">
        <f>IF(OR($A13="",Production!I13="",$L13=""),"",Production!I13*$L13*(1-Commodities!$E13))</f>
        <v/>
      </c>
      <c r="J13" s="10">
        <f>IF(OR($A13="",Production!J13="",$L13=""),"",Production!J13*$L13*(1-Commodities!$E13))</f>
        <v/>
      </c>
      <c r="L13" s="15">
        <f>IF($A13="","",IFERROR(INDEX(Prices!$C13:$J13,MATCH(Settings!$B$4,Prices!$C$1:$J$1,0)),""))</f>
        <v/>
      </c>
    </row>
    <row r="14">
      <c r="A14" s="7">
        <f>IF(Commodities!B14="","",Commodities!B14)</f>
        <v/>
      </c>
      <c r="B14" s="7">
        <f>IF(Commodities!C14="","",Commodities!C14)</f>
        <v/>
      </c>
      <c r="C14" s="10">
        <f>IF(OR($A14="",Production!C14="",$L14=""),"",Production!C14*$L14*(1-Commodities!$E14))</f>
        <v/>
      </c>
      <c r="D14" s="10">
        <f>IF(OR($A14="",Production!D14="",$L14=""),"",Production!D14*$L14*(1-Commodities!$E14))</f>
        <v/>
      </c>
      <c r="E14" s="10">
        <f>IF(OR($A14="",Production!E14="",$L14=""),"",Production!E14*$L14*(1-Commodities!$E14))</f>
        <v/>
      </c>
      <c r="F14" s="10">
        <f>IF(OR($A14="",Production!F14="",$L14=""),"",Production!F14*$L14*(1-Commodities!$E14))</f>
        <v/>
      </c>
      <c r="G14" s="10">
        <f>IF(OR($A14="",Production!G14="",$L14=""),"",Production!G14*$L14*(1-Commodities!$E14))</f>
        <v/>
      </c>
      <c r="H14" s="10">
        <f>IF(OR($A14="",Production!H14="",$L14=""),"",Production!H14*$L14*(1-Commodities!$E14))</f>
        <v/>
      </c>
      <c r="I14" s="10">
        <f>IF(OR($A14="",Production!I14="",$L14=""),"",Production!I14*$L14*(1-Commodities!$E14))</f>
        <v/>
      </c>
      <c r="J14" s="10">
        <f>IF(OR($A14="",Production!J14="",$L14=""),"",Production!J14*$L14*(1-Commodities!$E14))</f>
        <v/>
      </c>
      <c r="L14" s="15">
        <f>IF($A14="","",IFERROR(INDEX(Prices!$C14:$J14,MATCH(Settings!$B$4,Prices!$C$1:$J$1,0)),""))</f>
        <v/>
      </c>
    </row>
    <row r="15">
      <c r="A15" s="7">
        <f>IF(Commodities!B15="","",Commodities!B15)</f>
        <v/>
      </c>
      <c r="B15" s="7">
        <f>IF(Commodities!C15="","",Commodities!C15)</f>
        <v/>
      </c>
      <c r="C15" s="10">
        <f>IF(OR($A15="",Production!C15="",$L15=""),"",Production!C15*$L15*(1-Commodities!$E15))</f>
        <v/>
      </c>
      <c r="D15" s="10">
        <f>IF(OR($A15="",Production!D15="",$L15=""),"",Production!D15*$L15*(1-Commodities!$E15))</f>
        <v/>
      </c>
      <c r="E15" s="10">
        <f>IF(OR($A15="",Production!E15="",$L15=""),"",Production!E15*$L15*(1-Commodities!$E15))</f>
        <v/>
      </c>
      <c r="F15" s="10">
        <f>IF(OR($A15="",Production!F15="",$L15=""),"",Production!F15*$L15*(1-Commodities!$E15))</f>
        <v/>
      </c>
      <c r="G15" s="10">
        <f>IF(OR($A15="",Production!G15="",$L15=""),"",Production!G15*$L15*(1-Commodities!$E15))</f>
        <v/>
      </c>
      <c r="H15" s="10">
        <f>IF(OR($A15="",Production!H15="",$L15=""),"",Production!H15*$L15*(1-Commodities!$E15))</f>
        <v/>
      </c>
      <c r="I15" s="10">
        <f>IF(OR($A15="",Production!I15="",$L15=""),"",Production!I15*$L15*(1-Commodities!$E15))</f>
        <v/>
      </c>
      <c r="J15" s="10">
        <f>IF(OR($A15="",Production!J15="",$L15=""),"",Production!J15*$L15*(1-Commodities!$E15))</f>
        <v/>
      </c>
      <c r="L15" s="15">
        <f>IF($A15="","",IFERROR(INDEX(Prices!$C15:$J15,MATCH(Settings!$B$4,Prices!$C$1:$J$1,0)),""))</f>
        <v/>
      </c>
    </row>
    <row r="16">
      <c r="A16" s="7">
        <f>IF(Commodities!B16="","",Commodities!B16)</f>
        <v/>
      </c>
      <c r="B16" s="7">
        <f>IF(Commodities!C16="","",Commodities!C16)</f>
        <v/>
      </c>
      <c r="C16" s="10">
        <f>IF(OR($A16="",Production!C16="",$L16=""),"",Production!C16*$L16*(1-Commodities!$E16))</f>
        <v/>
      </c>
      <c r="D16" s="10">
        <f>IF(OR($A16="",Production!D16="",$L16=""),"",Production!D16*$L16*(1-Commodities!$E16))</f>
        <v/>
      </c>
      <c r="E16" s="10">
        <f>IF(OR($A16="",Production!E16="",$L16=""),"",Production!E16*$L16*(1-Commodities!$E16))</f>
        <v/>
      </c>
      <c r="F16" s="10">
        <f>IF(OR($A16="",Production!F16="",$L16=""),"",Production!F16*$L16*(1-Commodities!$E16))</f>
        <v/>
      </c>
      <c r="G16" s="10">
        <f>IF(OR($A16="",Production!G16="",$L16=""),"",Production!G16*$L16*(1-Commodities!$E16))</f>
        <v/>
      </c>
      <c r="H16" s="10">
        <f>IF(OR($A16="",Production!H16="",$L16=""),"",Production!H16*$L16*(1-Commodities!$E16))</f>
        <v/>
      </c>
      <c r="I16" s="10">
        <f>IF(OR($A16="",Production!I16="",$L16=""),"",Production!I16*$L16*(1-Commodities!$E16))</f>
        <v/>
      </c>
      <c r="J16" s="10">
        <f>IF(OR($A16="",Production!J16="",$L16=""),"",Production!J16*$L16*(1-Commodities!$E16))</f>
        <v/>
      </c>
      <c r="L16" s="15">
        <f>IF($A16="","",IFERROR(INDEX(Prices!$C16:$J16,MATCH(Settings!$B$4,Prices!$C$1:$J$1,0)),""))</f>
        <v/>
      </c>
    </row>
    <row r="17">
      <c r="A17" s="7">
        <f>IF(Commodities!B17="","",Commodities!B17)</f>
        <v/>
      </c>
      <c r="B17" s="7">
        <f>IF(Commodities!C17="","",Commodities!C17)</f>
        <v/>
      </c>
      <c r="C17" s="10">
        <f>IF(OR($A17="",Production!C17="",$L17=""),"",Production!C17*$L17*(1-Commodities!$E17))</f>
        <v/>
      </c>
      <c r="D17" s="10">
        <f>IF(OR($A17="",Production!D17="",$L17=""),"",Production!D17*$L17*(1-Commodities!$E17))</f>
        <v/>
      </c>
      <c r="E17" s="10">
        <f>IF(OR($A17="",Production!E17="",$L17=""),"",Production!E17*$L17*(1-Commodities!$E17))</f>
        <v/>
      </c>
      <c r="F17" s="10">
        <f>IF(OR($A17="",Production!F17="",$L17=""),"",Production!F17*$L17*(1-Commodities!$E17))</f>
        <v/>
      </c>
      <c r="G17" s="10">
        <f>IF(OR($A17="",Production!G17="",$L17=""),"",Production!G17*$L17*(1-Commodities!$E17))</f>
        <v/>
      </c>
      <c r="H17" s="10">
        <f>IF(OR($A17="",Production!H17="",$L17=""),"",Production!H17*$L17*(1-Commodities!$E17))</f>
        <v/>
      </c>
      <c r="I17" s="10">
        <f>IF(OR($A17="",Production!I17="",$L17=""),"",Production!I17*$L17*(1-Commodities!$E17))</f>
        <v/>
      </c>
      <c r="J17" s="10">
        <f>IF(OR($A17="",Production!J17="",$L17=""),"",Production!J17*$L17*(1-Commodities!$E17))</f>
        <v/>
      </c>
      <c r="L17" s="15">
        <f>IF($A17="","",IFERROR(INDEX(Prices!$C17:$J17,MATCH(Settings!$B$4,Prices!$C$1:$J$1,0)),""))</f>
        <v/>
      </c>
    </row>
    <row r="18">
      <c r="A18" s="7">
        <f>IF(Commodities!B18="","",Commodities!B18)</f>
        <v/>
      </c>
      <c r="B18" s="7">
        <f>IF(Commodities!C18="","",Commodities!C18)</f>
        <v/>
      </c>
      <c r="C18" s="10">
        <f>IF(OR($A18="",Production!C18="",$L18=""),"",Production!C18*$L18*(1-Commodities!$E18))</f>
        <v/>
      </c>
      <c r="D18" s="10">
        <f>IF(OR($A18="",Production!D18="",$L18=""),"",Production!D18*$L18*(1-Commodities!$E18))</f>
        <v/>
      </c>
      <c r="E18" s="10">
        <f>IF(OR($A18="",Production!E18="",$L18=""),"",Production!E18*$L18*(1-Commodities!$E18))</f>
        <v/>
      </c>
      <c r="F18" s="10">
        <f>IF(OR($A18="",Production!F18="",$L18=""),"",Production!F18*$L18*(1-Commodities!$E18))</f>
        <v/>
      </c>
      <c r="G18" s="10">
        <f>IF(OR($A18="",Production!G18="",$L18=""),"",Production!G18*$L18*(1-Commodities!$E18))</f>
        <v/>
      </c>
      <c r="H18" s="10">
        <f>IF(OR($A18="",Production!H18="",$L18=""),"",Production!H18*$L18*(1-Commodities!$E18))</f>
        <v/>
      </c>
      <c r="I18" s="10">
        <f>IF(OR($A18="",Production!I18="",$L18=""),"",Production!I18*$L18*(1-Commodities!$E18))</f>
        <v/>
      </c>
      <c r="J18" s="10">
        <f>IF(OR($A18="",Production!J18="",$L18=""),"",Production!J18*$L18*(1-Commodities!$E18))</f>
        <v/>
      </c>
      <c r="L18" s="15">
        <f>IF($A18="","",IFERROR(INDEX(Prices!$C18:$J18,MATCH(Settings!$B$4,Prices!$C$1:$J$1,0)),""))</f>
        <v/>
      </c>
    </row>
    <row r="19">
      <c r="A19" s="7">
        <f>IF(Commodities!B19="","",Commodities!B19)</f>
        <v/>
      </c>
      <c r="B19" s="7">
        <f>IF(Commodities!C19="","",Commodities!C19)</f>
        <v/>
      </c>
      <c r="C19" s="10">
        <f>IF(OR($A19="",Production!C19="",$L19=""),"",Production!C19*$L19*(1-Commodities!$E19))</f>
        <v/>
      </c>
      <c r="D19" s="10">
        <f>IF(OR($A19="",Production!D19="",$L19=""),"",Production!D19*$L19*(1-Commodities!$E19))</f>
        <v/>
      </c>
      <c r="E19" s="10">
        <f>IF(OR($A19="",Production!E19="",$L19=""),"",Production!E19*$L19*(1-Commodities!$E19))</f>
        <v/>
      </c>
      <c r="F19" s="10">
        <f>IF(OR($A19="",Production!F19="",$L19=""),"",Production!F19*$L19*(1-Commodities!$E19))</f>
        <v/>
      </c>
      <c r="G19" s="10">
        <f>IF(OR($A19="",Production!G19="",$L19=""),"",Production!G19*$L19*(1-Commodities!$E19))</f>
        <v/>
      </c>
      <c r="H19" s="10">
        <f>IF(OR($A19="",Production!H19="",$L19=""),"",Production!H19*$L19*(1-Commodities!$E19))</f>
        <v/>
      </c>
      <c r="I19" s="10">
        <f>IF(OR($A19="",Production!I19="",$L19=""),"",Production!I19*$L19*(1-Commodities!$E19))</f>
        <v/>
      </c>
      <c r="J19" s="10">
        <f>IF(OR($A19="",Production!J19="",$L19=""),"",Production!J19*$L19*(1-Commodities!$E19))</f>
        <v/>
      </c>
      <c r="L19" s="15">
        <f>IF($A19="","",IFERROR(INDEX(Prices!$C19:$J19,MATCH(Settings!$B$4,Prices!$C$1:$J$1,0)),""))</f>
        <v/>
      </c>
    </row>
    <row r="20">
      <c r="A20" s="7">
        <f>IF(Commodities!B20="","",Commodities!B20)</f>
        <v/>
      </c>
      <c r="B20" s="7">
        <f>IF(Commodities!C20="","",Commodities!C20)</f>
        <v/>
      </c>
      <c r="C20" s="10">
        <f>IF(OR($A20="",Production!C20="",$L20=""),"",Production!C20*$L20*(1-Commodities!$E20))</f>
        <v/>
      </c>
      <c r="D20" s="10">
        <f>IF(OR($A20="",Production!D20="",$L20=""),"",Production!D20*$L20*(1-Commodities!$E20))</f>
        <v/>
      </c>
      <c r="E20" s="10">
        <f>IF(OR($A20="",Production!E20="",$L20=""),"",Production!E20*$L20*(1-Commodities!$E20))</f>
        <v/>
      </c>
      <c r="F20" s="10">
        <f>IF(OR($A20="",Production!F20="",$L20=""),"",Production!F20*$L20*(1-Commodities!$E20))</f>
        <v/>
      </c>
      <c r="G20" s="10">
        <f>IF(OR($A20="",Production!G20="",$L20=""),"",Production!G20*$L20*(1-Commodities!$E20))</f>
        <v/>
      </c>
      <c r="H20" s="10">
        <f>IF(OR($A20="",Production!H20="",$L20=""),"",Production!H20*$L20*(1-Commodities!$E20))</f>
        <v/>
      </c>
      <c r="I20" s="10">
        <f>IF(OR($A20="",Production!I20="",$L20=""),"",Production!I20*$L20*(1-Commodities!$E20))</f>
        <v/>
      </c>
      <c r="J20" s="10">
        <f>IF(OR($A20="",Production!J20="",$L20=""),"",Production!J20*$L20*(1-Commodities!$E20))</f>
        <v/>
      </c>
      <c r="L20" s="15">
        <f>IF($A20="","",IFERROR(INDEX(Prices!$C20:$J20,MATCH(Settings!$B$4,Prices!$C$1:$J$1,0)),""))</f>
        <v/>
      </c>
    </row>
    <row r="21">
      <c r="A21" s="7">
        <f>IF(Commodities!B21="","",Commodities!B21)</f>
        <v/>
      </c>
      <c r="B21" s="7">
        <f>IF(Commodities!C21="","",Commodities!C21)</f>
        <v/>
      </c>
      <c r="C21" s="10">
        <f>IF(OR($A21="",Production!C21="",$L21=""),"",Production!C21*$L21*(1-Commodities!$E21))</f>
        <v/>
      </c>
      <c r="D21" s="10">
        <f>IF(OR($A21="",Production!D21="",$L21=""),"",Production!D21*$L21*(1-Commodities!$E21))</f>
        <v/>
      </c>
      <c r="E21" s="10">
        <f>IF(OR($A21="",Production!E21="",$L21=""),"",Production!E21*$L21*(1-Commodities!$E21))</f>
        <v/>
      </c>
      <c r="F21" s="10">
        <f>IF(OR($A21="",Production!F21="",$L21=""),"",Production!F21*$L21*(1-Commodities!$E21))</f>
        <v/>
      </c>
      <c r="G21" s="10">
        <f>IF(OR($A21="",Production!G21="",$L21=""),"",Production!G21*$L21*(1-Commodities!$E21))</f>
        <v/>
      </c>
      <c r="H21" s="10">
        <f>IF(OR($A21="",Production!H21="",$L21=""),"",Production!H21*$L21*(1-Commodities!$E21))</f>
        <v/>
      </c>
      <c r="I21" s="10">
        <f>IF(OR($A21="",Production!I21="",$L21=""),"",Production!I21*$L21*(1-Commodities!$E21))</f>
        <v/>
      </c>
      <c r="J21" s="10">
        <f>IF(OR($A21="",Production!J21="",$L21=""),"",Production!J21*$L21*(1-Commodities!$E21))</f>
        <v/>
      </c>
      <c r="L21" s="15">
        <f>IF($A21="","",IFERROR(INDEX(Prices!$C21:$J21,MATCH(Settings!$B$4,Prices!$C$1:$J$1,0)),""))</f>
        <v/>
      </c>
    </row>
    <row r="22">
      <c r="A22" s="7">
        <f>IF(Commodities!B22="","",Commodities!B22)</f>
        <v/>
      </c>
      <c r="B22" s="7">
        <f>IF(Commodities!C22="","",Commodities!C22)</f>
        <v/>
      </c>
      <c r="C22" s="10">
        <f>IF(OR($A22="",Production!C22="",$L22=""),"",Production!C22*$L22*(1-Commodities!$E22))</f>
        <v/>
      </c>
      <c r="D22" s="10">
        <f>IF(OR($A22="",Production!D22="",$L22=""),"",Production!D22*$L22*(1-Commodities!$E22))</f>
        <v/>
      </c>
      <c r="E22" s="10">
        <f>IF(OR($A22="",Production!E22="",$L22=""),"",Production!E22*$L22*(1-Commodities!$E22))</f>
        <v/>
      </c>
      <c r="F22" s="10">
        <f>IF(OR($A22="",Production!F22="",$L22=""),"",Production!F22*$L22*(1-Commodities!$E22))</f>
        <v/>
      </c>
      <c r="G22" s="10">
        <f>IF(OR($A22="",Production!G22="",$L22=""),"",Production!G22*$L22*(1-Commodities!$E22))</f>
        <v/>
      </c>
      <c r="H22" s="10">
        <f>IF(OR($A22="",Production!H22="",$L22=""),"",Production!H22*$L22*(1-Commodities!$E22))</f>
        <v/>
      </c>
      <c r="I22" s="10">
        <f>IF(OR($A22="",Production!I22="",$L22=""),"",Production!I22*$L22*(1-Commodities!$E22))</f>
        <v/>
      </c>
      <c r="J22" s="10">
        <f>IF(OR($A22="",Production!J22="",$L22=""),"",Production!J22*$L22*(1-Commodities!$E22))</f>
        <v/>
      </c>
      <c r="L22" s="15">
        <f>IF($A22="","",IFERROR(INDEX(Prices!$C22:$J22,MATCH(Settings!$B$4,Prices!$C$1:$J$1,0)),""))</f>
        <v/>
      </c>
    </row>
    <row r="23">
      <c r="A23" s="7">
        <f>IF(Commodities!B23="","",Commodities!B23)</f>
        <v/>
      </c>
      <c r="B23" s="7">
        <f>IF(Commodities!C23="","",Commodities!C23)</f>
        <v/>
      </c>
      <c r="C23" s="10">
        <f>IF(OR($A23="",Production!C23="",$L23=""),"",Production!C23*$L23*(1-Commodities!$E23))</f>
        <v/>
      </c>
      <c r="D23" s="10">
        <f>IF(OR($A23="",Production!D23="",$L23=""),"",Production!D23*$L23*(1-Commodities!$E23))</f>
        <v/>
      </c>
      <c r="E23" s="10">
        <f>IF(OR($A23="",Production!E23="",$L23=""),"",Production!E23*$L23*(1-Commodities!$E23))</f>
        <v/>
      </c>
      <c r="F23" s="10">
        <f>IF(OR($A23="",Production!F23="",$L23=""),"",Production!F23*$L23*(1-Commodities!$E23))</f>
        <v/>
      </c>
      <c r="G23" s="10">
        <f>IF(OR($A23="",Production!G23="",$L23=""),"",Production!G23*$L23*(1-Commodities!$E23))</f>
        <v/>
      </c>
      <c r="H23" s="10">
        <f>IF(OR($A23="",Production!H23="",$L23=""),"",Production!H23*$L23*(1-Commodities!$E23))</f>
        <v/>
      </c>
      <c r="I23" s="10">
        <f>IF(OR($A23="",Production!I23="",$L23=""),"",Production!I23*$L23*(1-Commodities!$E23))</f>
        <v/>
      </c>
      <c r="J23" s="10">
        <f>IF(OR($A23="",Production!J23="",$L23=""),"",Production!J23*$L23*(1-Commodities!$E23))</f>
        <v/>
      </c>
      <c r="L23" s="15">
        <f>IF($A23="","",IFERROR(INDEX(Prices!$C23:$J23,MATCH(Settings!$B$4,Prices!$C$1:$J$1,0)),""))</f>
        <v/>
      </c>
    </row>
    <row r="24">
      <c r="A24" s="7">
        <f>IF(Commodities!B24="","",Commodities!B24)</f>
        <v/>
      </c>
      <c r="B24" s="7">
        <f>IF(Commodities!C24="","",Commodities!C24)</f>
        <v/>
      </c>
      <c r="C24" s="10">
        <f>IF(OR($A24="",Production!C24="",$L24=""),"",Production!C24*$L24*(1-Commodities!$E24))</f>
        <v/>
      </c>
      <c r="D24" s="10">
        <f>IF(OR($A24="",Production!D24="",$L24=""),"",Production!D24*$L24*(1-Commodities!$E24))</f>
        <v/>
      </c>
      <c r="E24" s="10">
        <f>IF(OR($A24="",Production!E24="",$L24=""),"",Production!E24*$L24*(1-Commodities!$E24))</f>
        <v/>
      </c>
      <c r="F24" s="10">
        <f>IF(OR($A24="",Production!F24="",$L24=""),"",Production!F24*$L24*(1-Commodities!$E24))</f>
        <v/>
      </c>
      <c r="G24" s="10">
        <f>IF(OR($A24="",Production!G24="",$L24=""),"",Production!G24*$L24*(1-Commodities!$E24))</f>
        <v/>
      </c>
      <c r="H24" s="10">
        <f>IF(OR($A24="",Production!H24="",$L24=""),"",Production!H24*$L24*(1-Commodities!$E24))</f>
        <v/>
      </c>
      <c r="I24" s="10">
        <f>IF(OR($A24="",Production!I24="",$L24=""),"",Production!I24*$L24*(1-Commodities!$E24))</f>
        <v/>
      </c>
      <c r="J24" s="10">
        <f>IF(OR($A24="",Production!J24="",$L24=""),"",Production!J24*$L24*(1-Commodities!$E24))</f>
        <v/>
      </c>
      <c r="L24" s="15">
        <f>IF($A24="","",IFERROR(INDEX(Prices!$C24:$J24,MATCH(Settings!$B$4,Prices!$C$1:$J$1,0)),""))</f>
        <v/>
      </c>
    </row>
    <row r="25">
      <c r="A25" s="7">
        <f>IF(Commodities!B25="","",Commodities!B25)</f>
        <v/>
      </c>
      <c r="B25" s="7">
        <f>IF(Commodities!C25="","",Commodities!C25)</f>
        <v/>
      </c>
      <c r="C25" s="10">
        <f>IF(OR($A25="",Production!C25="",$L25=""),"",Production!C25*$L25*(1-Commodities!$E25))</f>
        <v/>
      </c>
      <c r="D25" s="10">
        <f>IF(OR($A25="",Production!D25="",$L25=""),"",Production!D25*$L25*(1-Commodities!$E25))</f>
        <v/>
      </c>
      <c r="E25" s="10">
        <f>IF(OR($A25="",Production!E25="",$L25=""),"",Production!E25*$L25*(1-Commodities!$E25))</f>
        <v/>
      </c>
      <c r="F25" s="10">
        <f>IF(OR($A25="",Production!F25="",$L25=""),"",Production!F25*$L25*(1-Commodities!$E25))</f>
        <v/>
      </c>
      <c r="G25" s="10">
        <f>IF(OR($A25="",Production!G25="",$L25=""),"",Production!G25*$L25*(1-Commodities!$E25))</f>
        <v/>
      </c>
      <c r="H25" s="10">
        <f>IF(OR($A25="",Production!H25="",$L25=""),"",Production!H25*$L25*(1-Commodities!$E25))</f>
        <v/>
      </c>
      <c r="I25" s="10">
        <f>IF(OR($A25="",Production!I25="",$L25=""),"",Production!I25*$L25*(1-Commodities!$E25))</f>
        <v/>
      </c>
      <c r="J25" s="10">
        <f>IF(OR($A25="",Production!J25="",$L25=""),"",Production!J25*$L25*(1-Commodities!$E25))</f>
        <v/>
      </c>
      <c r="L25" s="15">
        <f>IF($A25="","",IFERROR(INDEX(Prices!$C25:$J25,MATCH(Settings!$B$4,Prices!$C$1:$J$1,0)),""))</f>
        <v/>
      </c>
    </row>
    <row r="26">
      <c r="A26" s="7">
        <f>IF(Commodities!B26="","",Commodities!B26)</f>
        <v/>
      </c>
      <c r="B26" s="7">
        <f>IF(Commodities!C26="","",Commodities!C26)</f>
        <v/>
      </c>
      <c r="C26" s="10">
        <f>IF(OR($A26="",Production!C26="",$L26=""),"",Production!C26*$L26*(1-Commodities!$E26))</f>
        <v/>
      </c>
      <c r="D26" s="10">
        <f>IF(OR($A26="",Production!D26="",$L26=""),"",Production!D26*$L26*(1-Commodities!$E26))</f>
        <v/>
      </c>
      <c r="E26" s="10">
        <f>IF(OR($A26="",Production!E26="",$L26=""),"",Production!E26*$L26*(1-Commodities!$E26))</f>
        <v/>
      </c>
      <c r="F26" s="10">
        <f>IF(OR($A26="",Production!F26="",$L26=""),"",Production!F26*$L26*(1-Commodities!$E26))</f>
        <v/>
      </c>
      <c r="G26" s="10">
        <f>IF(OR($A26="",Production!G26="",$L26=""),"",Production!G26*$L26*(1-Commodities!$E26))</f>
        <v/>
      </c>
      <c r="H26" s="10">
        <f>IF(OR($A26="",Production!H26="",$L26=""),"",Production!H26*$L26*(1-Commodities!$E26))</f>
        <v/>
      </c>
      <c r="I26" s="10">
        <f>IF(OR($A26="",Production!I26="",$L26=""),"",Production!I26*$L26*(1-Commodities!$E26))</f>
        <v/>
      </c>
      <c r="J26" s="10">
        <f>IF(OR($A26="",Production!J26="",$L26=""),"",Production!J26*$L26*(1-Commodities!$E26))</f>
        <v/>
      </c>
      <c r="L26" s="15">
        <f>IF($A26="","",IFERROR(INDEX(Prices!$C26:$J26,MATCH(Settings!$B$4,Prices!$C$1:$J$1,0)),""))</f>
        <v/>
      </c>
    </row>
    <row r="27">
      <c r="A27" s="7">
        <f>IF(Commodities!B27="","",Commodities!B27)</f>
        <v/>
      </c>
      <c r="B27" s="7">
        <f>IF(Commodities!C27="","",Commodities!C27)</f>
        <v/>
      </c>
      <c r="C27" s="10">
        <f>IF(OR($A27="",Production!C27="",$L27=""),"",Production!C27*$L27*(1-Commodities!$E27))</f>
        <v/>
      </c>
      <c r="D27" s="10">
        <f>IF(OR($A27="",Production!D27="",$L27=""),"",Production!D27*$L27*(1-Commodities!$E27))</f>
        <v/>
      </c>
      <c r="E27" s="10">
        <f>IF(OR($A27="",Production!E27="",$L27=""),"",Production!E27*$L27*(1-Commodities!$E27))</f>
        <v/>
      </c>
      <c r="F27" s="10">
        <f>IF(OR($A27="",Production!F27="",$L27=""),"",Production!F27*$L27*(1-Commodities!$E27))</f>
        <v/>
      </c>
      <c r="G27" s="10">
        <f>IF(OR($A27="",Production!G27="",$L27=""),"",Production!G27*$L27*(1-Commodities!$E27))</f>
        <v/>
      </c>
      <c r="H27" s="10">
        <f>IF(OR($A27="",Production!H27="",$L27=""),"",Production!H27*$L27*(1-Commodities!$E27))</f>
        <v/>
      </c>
      <c r="I27" s="10">
        <f>IF(OR($A27="",Production!I27="",$L27=""),"",Production!I27*$L27*(1-Commodities!$E27))</f>
        <v/>
      </c>
      <c r="J27" s="10">
        <f>IF(OR($A27="",Production!J27="",$L27=""),"",Production!J27*$L27*(1-Commodities!$E27))</f>
        <v/>
      </c>
      <c r="L27" s="15">
        <f>IF($A27="","",IFERROR(INDEX(Prices!$C27:$J27,MATCH(Settings!$B$4,Prices!$C$1:$J$1,0)),""))</f>
        <v/>
      </c>
    </row>
    <row r="28">
      <c r="A28" s="7">
        <f>IF(Commodities!B28="","",Commodities!B28)</f>
        <v/>
      </c>
      <c r="B28" s="7">
        <f>IF(Commodities!C28="","",Commodities!C28)</f>
        <v/>
      </c>
      <c r="C28" s="10">
        <f>IF(OR($A28="",Production!C28="",$L28=""),"",Production!C28*$L28*(1-Commodities!$E28))</f>
        <v/>
      </c>
      <c r="D28" s="10">
        <f>IF(OR($A28="",Production!D28="",$L28=""),"",Production!D28*$L28*(1-Commodities!$E28))</f>
        <v/>
      </c>
      <c r="E28" s="10">
        <f>IF(OR($A28="",Production!E28="",$L28=""),"",Production!E28*$L28*(1-Commodities!$E28))</f>
        <v/>
      </c>
      <c r="F28" s="10">
        <f>IF(OR($A28="",Production!F28="",$L28=""),"",Production!F28*$L28*(1-Commodities!$E28))</f>
        <v/>
      </c>
      <c r="G28" s="10">
        <f>IF(OR($A28="",Production!G28="",$L28=""),"",Production!G28*$L28*(1-Commodities!$E28))</f>
        <v/>
      </c>
      <c r="H28" s="10">
        <f>IF(OR($A28="",Production!H28="",$L28=""),"",Production!H28*$L28*(1-Commodities!$E28))</f>
        <v/>
      </c>
      <c r="I28" s="10">
        <f>IF(OR($A28="",Production!I28="",$L28=""),"",Production!I28*$L28*(1-Commodities!$E28))</f>
        <v/>
      </c>
      <c r="J28" s="10">
        <f>IF(OR($A28="",Production!J28="",$L28=""),"",Production!J28*$L28*(1-Commodities!$E28))</f>
        <v/>
      </c>
      <c r="L28" s="15">
        <f>IF($A28="","",IFERROR(INDEX(Prices!$C28:$J28,MATCH(Settings!$B$4,Prices!$C$1:$J$1,0)),""))</f>
        <v/>
      </c>
    </row>
    <row r="29">
      <c r="A29" s="7">
        <f>IF(Commodities!B29="","",Commodities!B29)</f>
        <v/>
      </c>
      <c r="B29" s="7">
        <f>IF(Commodities!C29="","",Commodities!C29)</f>
        <v/>
      </c>
      <c r="C29" s="10">
        <f>IF(OR($A29="",Production!C29="",$L29=""),"",Production!C29*$L29*(1-Commodities!$E29))</f>
        <v/>
      </c>
      <c r="D29" s="10">
        <f>IF(OR($A29="",Production!D29="",$L29=""),"",Production!D29*$L29*(1-Commodities!$E29))</f>
        <v/>
      </c>
      <c r="E29" s="10">
        <f>IF(OR($A29="",Production!E29="",$L29=""),"",Production!E29*$L29*(1-Commodities!$E29))</f>
        <v/>
      </c>
      <c r="F29" s="10">
        <f>IF(OR($A29="",Production!F29="",$L29=""),"",Production!F29*$L29*(1-Commodities!$E29))</f>
        <v/>
      </c>
      <c r="G29" s="10">
        <f>IF(OR($A29="",Production!G29="",$L29=""),"",Production!G29*$L29*(1-Commodities!$E29))</f>
        <v/>
      </c>
      <c r="H29" s="10">
        <f>IF(OR($A29="",Production!H29="",$L29=""),"",Production!H29*$L29*(1-Commodities!$E29))</f>
        <v/>
      </c>
      <c r="I29" s="10">
        <f>IF(OR($A29="",Production!I29="",$L29=""),"",Production!I29*$L29*(1-Commodities!$E29))</f>
        <v/>
      </c>
      <c r="J29" s="10">
        <f>IF(OR($A29="",Production!J29="",$L29=""),"",Production!J29*$L29*(1-Commodities!$E29))</f>
        <v/>
      </c>
      <c r="L29" s="15">
        <f>IF($A29="","",IFERROR(INDEX(Prices!$C29:$J29,MATCH(Settings!$B$4,Prices!$C$1:$J$1,0)),""))</f>
        <v/>
      </c>
    </row>
    <row r="30">
      <c r="A30" s="7">
        <f>IF(Commodities!B30="","",Commodities!B30)</f>
        <v/>
      </c>
      <c r="B30" s="7">
        <f>IF(Commodities!C30="","",Commodities!C30)</f>
        <v/>
      </c>
      <c r="C30" s="10">
        <f>IF(OR($A30="",Production!C30="",$L30=""),"",Production!C30*$L30*(1-Commodities!$E30))</f>
        <v/>
      </c>
      <c r="D30" s="10">
        <f>IF(OR($A30="",Production!D30="",$L30=""),"",Production!D30*$L30*(1-Commodities!$E30))</f>
        <v/>
      </c>
      <c r="E30" s="10">
        <f>IF(OR($A30="",Production!E30="",$L30=""),"",Production!E30*$L30*(1-Commodities!$E30))</f>
        <v/>
      </c>
      <c r="F30" s="10">
        <f>IF(OR($A30="",Production!F30="",$L30=""),"",Production!F30*$L30*(1-Commodities!$E30))</f>
        <v/>
      </c>
      <c r="G30" s="10">
        <f>IF(OR($A30="",Production!G30="",$L30=""),"",Production!G30*$L30*(1-Commodities!$E30))</f>
        <v/>
      </c>
      <c r="H30" s="10">
        <f>IF(OR($A30="",Production!H30="",$L30=""),"",Production!H30*$L30*(1-Commodities!$E30))</f>
        <v/>
      </c>
      <c r="I30" s="10">
        <f>IF(OR($A30="",Production!I30="",$L30=""),"",Production!I30*$L30*(1-Commodities!$E30))</f>
        <v/>
      </c>
      <c r="J30" s="10">
        <f>IF(OR($A30="",Production!J30="",$L30=""),"",Production!J30*$L30*(1-Commodities!$E30))</f>
        <v/>
      </c>
      <c r="L30" s="15">
        <f>IF($A30="","",IFERROR(INDEX(Prices!$C30:$J30,MATCH(Settings!$B$4,Prices!$C$1:$J$1,0)),""))</f>
        <v/>
      </c>
    </row>
    <row r="31">
      <c r="A31" s="7">
        <f>IF(Commodities!B31="","",Commodities!B31)</f>
        <v/>
      </c>
      <c r="B31" s="7">
        <f>IF(Commodities!C31="","",Commodities!C31)</f>
        <v/>
      </c>
      <c r="C31" s="10">
        <f>IF(OR($A31="",Production!C31="",$L31=""),"",Production!C31*$L31*(1-Commodities!$E31))</f>
        <v/>
      </c>
      <c r="D31" s="10">
        <f>IF(OR($A31="",Production!D31="",$L31=""),"",Production!D31*$L31*(1-Commodities!$E31))</f>
        <v/>
      </c>
      <c r="E31" s="10">
        <f>IF(OR($A31="",Production!E31="",$L31=""),"",Production!E31*$L31*(1-Commodities!$E31))</f>
        <v/>
      </c>
      <c r="F31" s="10">
        <f>IF(OR($A31="",Production!F31="",$L31=""),"",Production!F31*$L31*(1-Commodities!$E31))</f>
        <v/>
      </c>
      <c r="G31" s="10">
        <f>IF(OR($A31="",Production!G31="",$L31=""),"",Production!G31*$L31*(1-Commodities!$E31))</f>
        <v/>
      </c>
      <c r="H31" s="10">
        <f>IF(OR($A31="",Production!H31="",$L31=""),"",Production!H31*$L31*(1-Commodities!$E31))</f>
        <v/>
      </c>
      <c r="I31" s="10">
        <f>IF(OR($A31="",Production!I31="",$L31=""),"",Production!I31*$L31*(1-Commodities!$E31))</f>
        <v/>
      </c>
      <c r="J31" s="10">
        <f>IF(OR($A31="",Production!J31="",$L31=""),"",Production!J31*$L31*(1-Commodities!$E31))</f>
        <v/>
      </c>
      <c r="L31" s="15">
        <f>IF($A31="","",IFERROR(INDEX(Prices!$C31:$J31,MATCH(Settings!$B$4,Prices!$C$1:$J$1,0)),""))</f>
        <v/>
      </c>
    </row>
    <row r="32">
      <c r="A32" s="7">
        <f>IF(Commodities!B32="","",Commodities!B32)</f>
        <v/>
      </c>
      <c r="B32" s="7">
        <f>IF(Commodities!C32="","",Commodities!C32)</f>
        <v/>
      </c>
      <c r="C32" s="10">
        <f>IF(OR($A32="",Production!C32="",$L32=""),"",Production!C32*$L32*(1-Commodities!$E32))</f>
        <v/>
      </c>
      <c r="D32" s="10">
        <f>IF(OR($A32="",Production!D32="",$L32=""),"",Production!D32*$L32*(1-Commodities!$E32))</f>
        <v/>
      </c>
      <c r="E32" s="10">
        <f>IF(OR($A32="",Production!E32="",$L32=""),"",Production!E32*$L32*(1-Commodities!$E32))</f>
        <v/>
      </c>
      <c r="F32" s="10">
        <f>IF(OR($A32="",Production!F32="",$L32=""),"",Production!F32*$L32*(1-Commodities!$E32))</f>
        <v/>
      </c>
      <c r="G32" s="10">
        <f>IF(OR($A32="",Production!G32="",$L32=""),"",Production!G32*$L32*(1-Commodities!$E32))</f>
        <v/>
      </c>
      <c r="H32" s="10">
        <f>IF(OR($A32="",Production!H32="",$L32=""),"",Production!H32*$L32*(1-Commodities!$E32))</f>
        <v/>
      </c>
      <c r="I32" s="10">
        <f>IF(OR($A32="",Production!I32="",$L32=""),"",Production!I32*$L32*(1-Commodities!$E32))</f>
        <v/>
      </c>
      <c r="J32" s="10">
        <f>IF(OR($A32="",Production!J32="",$L32=""),"",Production!J32*$L32*(1-Commodities!$E32))</f>
        <v/>
      </c>
      <c r="L32" s="15">
        <f>IF($A32="","",IFERROR(INDEX(Prices!$C32:$J32,MATCH(Settings!$B$4,Prices!$C$1:$J$1,0)),""))</f>
        <v/>
      </c>
    </row>
    <row r="33">
      <c r="A33" s="7">
        <f>IF(Commodities!B33="","",Commodities!B33)</f>
        <v/>
      </c>
      <c r="B33" s="7">
        <f>IF(Commodities!C33="","",Commodities!C33)</f>
        <v/>
      </c>
      <c r="C33" s="10">
        <f>IF(OR($A33="",Production!C33="",$L33=""),"",Production!C33*$L33*(1-Commodities!$E33))</f>
        <v/>
      </c>
      <c r="D33" s="10">
        <f>IF(OR($A33="",Production!D33="",$L33=""),"",Production!D33*$L33*(1-Commodities!$E33))</f>
        <v/>
      </c>
      <c r="E33" s="10">
        <f>IF(OR($A33="",Production!E33="",$L33=""),"",Production!E33*$L33*(1-Commodities!$E33))</f>
        <v/>
      </c>
      <c r="F33" s="10">
        <f>IF(OR($A33="",Production!F33="",$L33=""),"",Production!F33*$L33*(1-Commodities!$E33))</f>
        <v/>
      </c>
      <c r="G33" s="10">
        <f>IF(OR($A33="",Production!G33="",$L33=""),"",Production!G33*$L33*(1-Commodities!$E33))</f>
        <v/>
      </c>
      <c r="H33" s="10">
        <f>IF(OR($A33="",Production!H33="",$L33=""),"",Production!H33*$L33*(1-Commodities!$E33))</f>
        <v/>
      </c>
      <c r="I33" s="10">
        <f>IF(OR($A33="",Production!I33="",$L33=""),"",Production!I33*$L33*(1-Commodities!$E33))</f>
        <v/>
      </c>
      <c r="J33" s="10">
        <f>IF(OR($A33="",Production!J33="",$L33=""),"",Production!J33*$L33*(1-Commodities!$E33))</f>
        <v/>
      </c>
      <c r="L33" s="15">
        <f>IF($A33="","",IFERROR(INDEX(Prices!$C33:$J33,MATCH(Settings!$B$4,Prices!$C$1:$J$1,0)),""))</f>
        <v/>
      </c>
    </row>
    <row r="34">
      <c r="A34" s="7">
        <f>IF(Commodities!B34="","",Commodities!B34)</f>
        <v/>
      </c>
      <c r="B34" s="7">
        <f>IF(Commodities!C34="","",Commodities!C34)</f>
        <v/>
      </c>
      <c r="C34" s="10">
        <f>IF(OR($A34="",Production!C34="",$L34=""),"",Production!C34*$L34*(1-Commodities!$E34))</f>
        <v/>
      </c>
      <c r="D34" s="10">
        <f>IF(OR($A34="",Production!D34="",$L34=""),"",Production!D34*$L34*(1-Commodities!$E34))</f>
        <v/>
      </c>
      <c r="E34" s="10">
        <f>IF(OR($A34="",Production!E34="",$L34=""),"",Production!E34*$L34*(1-Commodities!$E34))</f>
        <v/>
      </c>
      <c r="F34" s="10">
        <f>IF(OR($A34="",Production!F34="",$L34=""),"",Production!F34*$L34*(1-Commodities!$E34))</f>
        <v/>
      </c>
      <c r="G34" s="10">
        <f>IF(OR($A34="",Production!G34="",$L34=""),"",Production!G34*$L34*(1-Commodities!$E34))</f>
        <v/>
      </c>
      <c r="H34" s="10">
        <f>IF(OR($A34="",Production!H34="",$L34=""),"",Production!H34*$L34*(1-Commodities!$E34))</f>
        <v/>
      </c>
      <c r="I34" s="10">
        <f>IF(OR($A34="",Production!I34="",$L34=""),"",Production!I34*$L34*(1-Commodities!$E34))</f>
        <v/>
      </c>
      <c r="J34" s="10">
        <f>IF(OR($A34="",Production!J34="",$L34=""),"",Production!J34*$L34*(1-Commodities!$E34))</f>
        <v/>
      </c>
      <c r="L34" s="15">
        <f>IF($A34="","",IFERROR(INDEX(Prices!$C34:$J34,MATCH(Settings!$B$4,Prices!$C$1:$J$1,0)),""))</f>
        <v/>
      </c>
    </row>
    <row r="35">
      <c r="A35" s="7">
        <f>IF(Commodities!B35="","",Commodities!B35)</f>
        <v/>
      </c>
      <c r="B35" s="7">
        <f>IF(Commodities!C35="","",Commodities!C35)</f>
        <v/>
      </c>
      <c r="C35" s="10">
        <f>IF(OR($A35="",Production!C35="",$L35=""),"",Production!C35*$L35*(1-Commodities!$E35))</f>
        <v/>
      </c>
      <c r="D35" s="10">
        <f>IF(OR($A35="",Production!D35="",$L35=""),"",Production!D35*$L35*(1-Commodities!$E35))</f>
        <v/>
      </c>
      <c r="E35" s="10">
        <f>IF(OR($A35="",Production!E35="",$L35=""),"",Production!E35*$L35*(1-Commodities!$E35))</f>
        <v/>
      </c>
      <c r="F35" s="10">
        <f>IF(OR($A35="",Production!F35="",$L35=""),"",Production!F35*$L35*(1-Commodities!$E35))</f>
        <v/>
      </c>
      <c r="G35" s="10">
        <f>IF(OR($A35="",Production!G35="",$L35=""),"",Production!G35*$L35*(1-Commodities!$E35))</f>
        <v/>
      </c>
      <c r="H35" s="10">
        <f>IF(OR($A35="",Production!H35="",$L35=""),"",Production!H35*$L35*(1-Commodities!$E35))</f>
        <v/>
      </c>
      <c r="I35" s="10">
        <f>IF(OR($A35="",Production!I35="",$L35=""),"",Production!I35*$L35*(1-Commodities!$E35))</f>
        <v/>
      </c>
      <c r="J35" s="10">
        <f>IF(OR($A35="",Production!J35="",$L35=""),"",Production!J35*$L35*(1-Commodities!$E35))</f>
        <v/>
      </c>
      <c r="L35" s="15">
        <f>IF($A35="","",IFERROR(INDEX(Prices!$C35:$J35,MATCH(Settings!$B$4,Prices!$C$1:$J$1,0)),""))</f>
        <v/>
      </c>
    </row>
    <row r="36">
      <c r="A36" s="7">
        <f>IF(Commodities!B36="","",Commodities!B36)</f>
        <v/>
      </c>
      <c r="B36" s="7">
        <f>IF(Commodities!C36="","",Commodities!C36)</f>
        <v/>
      </c>
      <c r="C36" s="10">
        <f>IF(OR($A36="",Production!C36="",$L36=""),"",Production!C36*$L36*(1-Commodities!$E36))</f>
        <v/>
      </c>
      <c r="D36" s="10">
        <f>IF(OR($A36="",Production!D36="",$L36=""),"",Production!D36*$L36*(1-Commodities!$E36))</f>
        <v/>
      </c>
      <c r="E36" s="10">
        <f>IF(OR($A36="",Production!E36="",$L36=""),"",Production!E36*$L36*(1-Commodities!$E36))</f>
        <v/>
      </c>
      <c r="F36" s="10">
        <f>IF(OR($A36="",Production!F36="",$L36=""),"",Production!F36*$L36*(1-Commodities!$E36))</f>
        <v/>
      </c>
      <c r="G36" s="10">
        <f>IF(OR($A36="",Production!G36="",$L36=""),"",Production!G36*$L36*(1-Commodities!$E36))</f>
        <v/>
      </c>
      <c r="H36" s="10">
        <f>IF(OR($A36="",Production!H36="",$L36=""),"",Production!H36*$L36*(1-Commodities!$E36))</f>
        <v/>
      </c>
      <c r="I36" s="10">
        <f>IF(OR($A36="",Production!I36="",$L36=""),"",Production!I36*$L36*(1-Commodities!$E36))</f>
        <v/>
      </c>
      <c r="J36" s="10">
        <f>IF(OR($A36="",Production!J36="",$L36=""),"",Production!J36*$L36*(1-Commodities!$E36))</f>
        <v/>
      </c>
      <c r="L36" s="15">
        <f>IF($A36="","",IFERROR(INDEX(Prices!$C36:$J36,MATCH(Settings!$B$4,Prices!$C$1:$J$1,0)),""))</f>
        <v/>
      </c>
    </row>
    <row r="37">
      <c r="A37" s="7">
        <f>IF(Commodities!B37="","",Commodities!B37)</f>
        <v/>
      </c>
      <c r="B37" s="7">
        <f>IF(Commodities!C37="","",Commodities!C37)</f>
        <v/>
      </c>
      <c r="C37" s="10">
        <f>IF(OR($A37="",Production!C37="",$L37=""),"",Production!C37*$L37*(1-Commodities!$E37))</f>
        <v/>
      </c>
      <c r="D37" s="10">
        <f>IF(OR($A37="",Production!D37="",$L37=""),"",Production!D37*$L37*(1-Commodities!$E37))</f>
        <v/>
      </c>
      <c r="E37" s="10">
        <f>IF(OR($A37="",Production!E37="",$L37=""),"",Production!E37*$L37*(1-Commodities!$E37))</f>
        <v/>
      </c>
      <c r="F37" s="10">
        <f>IF(OR($A37="",Production!F37="",$L37=""),"",Production!F37*$L37*(1-Commodities!$E37))</f>
        <v/>
      </c>
      <c r="G37" s="10">
        <f>IF(OR($A37="",Production!G37="",$L37=""),"",Production!G37*$L37*(1-Commodities!$E37))</f>
        <v/>
      </c>
      <c r="H37" s="10">
        <f>IF(OR($A37="",Production!H37="",$L37=""),"",Production!H37*$L37*(1-Commodities!$E37))</f>
        <v/>
      </c>
      <c r="I37" s="10">
        <f>IF(OR($A37="",Production!I37="",$L37=""),"",Production!I37*$L37*(1-Commodities!$E37))</f>
        <v/>
      </c>
      <c r="J37" s="10">
        <f>IF(OR($A37="",Production!J37="",$L37=""),"",Production!J37*$L37*(1-Commodities!$E37))</f>
        <v/>
      </c>
      <c r="L37" s="15">
        <f>IF($A37="","",IFERROR(INDEX(Prices!$C37:$J37,MATCH(Settings!$B$4,Prices!$C$1:$J$1,0)),""))</f>
        <v/>
      </c>
    </row>
    <row r="38">
      <c r="A38" s="7">
        <f>IF(Commodities!B38="","",Commodities!B38)</f>
        <v/>
      </c>
      <c r="B38" s="7">
        <f>IF(Commodities!C38="","",Commodities!C38)</f>
        <v/>
      </c>
      <c r="C38" s="10">
        <f>IF(OR($A38="",Production!C38="",$L38=""),"",Production!C38*$L38*(1-Commodities!$E38))</f>
        <v/>
      </c>
      <c r="D38" s="10">
        <f>IF(OR($A38="",Production!D38="",$L38=""),"",Production!D38*$L38*(1-Commodities!$E38))</f>
        <v/>
      </c>
      <c r="E38" s="10">
        <f>IF(OR($A38="",Production!E38="",$L38=""),"",Production!E38*$L38*(1-Commodities!$E38))</f>
        <v/>
      </c>
      <c r="F38" s="10">
        <f>IF(OR($A38="",Production!F38="",$L38=""),"",Production!F38*$L38*(1-Commodities!$E38))</f>
        <v/>
      </c>
      <c r="G38" s="10">
        <f>IF(OR($A38="",Production!G38="",$L38=""),"",Production!G38*$L38*(1-Commodities!$E38))</f>
        <v/>
      </c>
      <c r="H38" s="10">
        <f>IF(OR($A38="",Production!H38="",$L38=""),"",Production!H38*$L38*(1-Commodities!$E38))</f>
        <v/>
      </c>
      <c r="I38" s="10">
        <f>IF(OR($A38="",Production!I38="",$L38=""),"",Production!I38*$L38*(1-Commodities!$E38))</f>
        <v/>
      </c>
      <c r="J38" s="10">
        <f>IF(OR($A38="",Production!J38="",$L38=""),"",Production!J38*$L38*(1-Commodities!$E38))</f>
        <v/>
      </c>
      <c r="L38" s="15">
        <f>IF($A38="","",IFERROR(INDEX(Prices!$C38:$J38,MATCH(Settings!$B$4,Prices!$C$1:$J$1,0)),""))</f>
        <v/>
      </c>
    </row>
    <row r="39">
      <c r="A39" s="7">
        <f>IF(Commodities!B39="","",Commodities!B39)</f>
        <v/>
      </c>
      <c r="B39" s="7">
        <f>IF(Commodities!C39="","",Commodities!C39)</f>
        <v/>
      </c>
      <c r="C39" s="10">
        <f>IF(OR($A39="",Production!C39="",$L39=""),"",Production!C39*$L39*(1-Commodities!$E39))</f>
        <v/>
      </c>
      <c r="D39" s="10">
        <f>IF(OR($A39="",Production!D39="",$L39=""),"",Production!D39*$L39*(1-Commodities!$E39))</f>
        <v/>
      </c>
      <c r="E39" s="10">
        <f>IF(OR($A39="",Production!E39="",$L39=""),"",Production!E39*$L39*(1-Commodities!$E39))</f>
        <v/>
      </c>
      <c r="F39" s="10">
        <f>IF(OR($A39="",Production!F39="",$L39=""),"",Production!F39*$L39*(1-Commodities!$E39))</f>
        <v/>
      </c>
      <c r="G39" s="10">
        <f>IF(OR($A39="",Production!G39="",$L39=""),"",Production!G39*$L39*(1-Commodities!$E39))</f>
        <v/>
      </c>
      <c r="H39" s="10">
        <f>IF(OR($A39="",Production!H39="",$L39=""),"",Production!H39*$L39*(1-Commodities!$E39))</f>
        <v/>
      </c>
      <c r="I39" s="10">
        <f>IF(OR($A39="",Production!I39="",$L39=""),"",Production!I39*$L39*(1-Commodities!$E39))</f>
        <v/>
      </c>
      <c r="J39" s="10">
        <f>IF(OR($A39="",Production!J39="",$L39=""),"",Production!J39*$L39*(1-Commodities!$E39))</f>
        <v/>
      </c>
      <c r="L39" s="15">
        <f>IF($A39="","",IFERROR(INDEX(Prices!$C39:$J39,MATCH(Settings!$B$4,Prices!$C$1:$J$1,0)),""))</f>
        <v/>
      </c>
    </row>
    <row r="40">
      <c r="A40" s="7">
        <f>IF(Commodities!B40="","",Commodities!B40)</f>
        <v/>
      </c>
      <c r="B40" s="7">
        <f>IF(Commodities!C40="","",Commodities!C40)</f>
        <v/>
      </c>
      <c r="C40" s="10">
        <f>IF(OR($A40="",Production!C40="",$L40=""),"",Production!C40*$L40*(1-Commodities!$E40))</f>
        <v/>
      </c>
      <c r="D40" s="10">
        <f>IF(OR($A40="",Production!D40="",$L40=""),"",Production!D40*$L40*(1-Commodities!$E40))</f>
        <v/>
      </c>
      <c r="E40" s="10">
        <f>IF(OR($A40="",Production!E40="",$L40=""),"",Production!E40*$L40*(1-Commodities!$E40))</f>
        <v/>
      </c>
      <c r="F40" s="10">
        <f>IF(OR($A40="",Production!F40="",$L40=""),"",Production!F40*$L40*(1-Commodities!$E40))</f>
        <v/>
      </c>
      <c r="G40" s="10">
        <f>IF(OR($A40="",Production!G40="",$L40=""),"",Production!G40*$L40*(1-Commodities!$E40))</f>
        <v/>
      </c>
      <c r="H40" s="10">
        <f>IF(OR($A40="",Production!H40="",$L40=""),"",Production!H40*$L40*(1-Commodities!$E40))</f>
        <v/>
      </c>
      <c r="I40" s="10">
        <f>IF(OR($A40="",Production!I40="",$L40=""),"",Production!I40*$L40*(1-Commodities!$E40))</f>
        <v/>
      </c>
      <c r="J40" s="10">
        <f>IF(OR($A40="",Production!J40="",$L40=""),"",Production!J40*$L40*(1-Commodities!$E40))</f>
        <v/>
      </c>
      <c r="L40" s="15">
        <f>IF($A40="","",IFERROR(INDEX(Prices!$C40:$J40,MATCH(Settings!$B$4,Prices!$C$1:$J$1,0)),""))</f>
        <v/>
      </c>
    </row>
    <row r="41">
      <c r="A41" s="7">
        <f>IF(Commodities!B41="","",Commodities!B41)</f>
        <v/>
      </c>
      <c r="B41" s="7">
        <f>IF(Commodities!C41="","",Commodities!C41)</f>
        <v/>
      </c>
      <c r="C41" s="10">
        <f>IF(OR($A41="",Production!C41="",$L41=""),"",Production!C41*$L41*(1-Commodities!$E41))</f>
        <v/>
      </c>
      <c r="D41" s="10">
        <f>IF(OR($A41="",Production!D41="",$L41=""),"",Production!D41*$L41*(1-Commodities!$E41))</f>
        <v/>
      </c>
      <c r="E41" s="10">
        <f>IF(OR($A41="",Production!E41="",$L41=""),"",Production!E41*$L41*(1-Commodities!$E41))</f>
        <v/>
      </c>
      <c r="F41" s="10">
        <f>IF(OR($A41="",Production!F41="",$L41=""),"",Production!F41*$L41*(1-Commodities!$E41))</f>
        <v/>
      </c>
      <c r="G41" s="10">
        <f>IF(OR($A41="",Production!G41="",$L41=""),"",Production!G41*$L41*(1-Commodities!$E41))</f>
        <v/>
      </c>
      <c r="H41" s="10">
        <f>IF(OR($A41="",Production!H41="",$L41=""),"",Production!H41*$L41*(1-Commodities!$E41))</f>
        <v/>
      </c>
      <c r="I41" s="10">
        <f>IF(OR($A41="",Production!I41="",$L41=""),"",Production!I41*$L41*(1-Commodities!$E41))</f>
        <v/>
      </c>
      <c r="J41" s="10">
        <f>IF(OR($A41="",Production!J41="",$L41=""),"",Production!J41*$L41*(1-Commodities!$E41))</f>
        <v/>
      </c>
      <c r="L41" s="15">
        <f>IF($A41="","",IFERROR(INDEX(Prices!$C41:$J41,MATCH(Settings!$B$4,Prices!$C$1:$J$1,0)),""))</f>
        <v/>
      </c>
    </row>
    <row r="43">
      <c r="A43" s="11" t="inlineStr">
        <is>
          <t>TOTAL commodity GVA</t>
        </is>
      </c>
      <c r="B43" s="12" t="n"/>
      <c r="C43" s="13">
        <f>SUM(C2:C41)</f>
        <v/>
      </c>
      <c r="D43" s="13">
        <f>SUM(D2:D41)</f>
        <v/>
      </c>
      <c r="E43" s="13">
        <f>SUM(E2:E41)</f>
        <v/>
      </c>
      <c r="F43" s="13">
        <f>SUM(F2:F41)</f>
        <v/>
      </c>
      <c r="G43" s="13">
        <f>SUM(G2:G41)</f>
        <v/>
      </c>
      <c r="H43" s="13">
        <f>SUM(H2:H41)</f>
        <v/>
      </c>
      <c r="I43" s="13">
        <f>SUM(I2:I41)</f>
        <v/>
      </c>
      <c r="J43" s="13">
        <f>SUM(J2:J41)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GDP — PRODUCTION APPROACH</t>
        </is>
      </c>
    </row>
    <row r="2">
      <c r="A2" s="4">
        <f>CONCATENATE("Values in ",Settings!B6,".  Constant prices of base year ",Settings!B4,".")</f>
        <v/>
      </c>
    </row>
    <row r="3">
      <c r="A3" s="5" t="inlineStr">
        <is>
          <t>Industry / aggregate</t>
        </is>
      </c>
      <c r="B3" s="5" t="n"/>
      <c r="C3" s="5">
        <f>Production!C$1</f>
        <v/>
      </c>
      <c r="D3" s="5">
        <f>Production!D$1</f>
        <v/>
      </c>
      <c r="E3" s="5">
        <f>Production!E$1</f>
        <v/>
      </c>
      <c r="F3" s="5">
        <f>Production!F$1</f>
        <v/>
      </c>
      <c r="G3" s="5">
        <f>Production!G$1</f>
        <v/>
      </c>
      <c r="H3" s="5">
        <f>Production!H$1</f>
        <v/>
      </c>
      <c r="I3" s="5">
        <f>Production!I$1</f>
        <v/>
      </c>
      <c r="J3" s="5">
        <f>Production!J$1</f>
        <v/>
      </c>
    </row>
    <row r="4">
      <c r="A4" s="16" t="inlineStr">
        <is>
          <t>NOMINAL — current prices</t>
        </is>
      </c>
      <c r="C4" s="17" t="n"/>
      <c r="D4" s="17" t="n"/>
      <c r="E4" s="17" t="n"/>
      <c r="F4" s="17" t="n"/>
      <c r="G4" s="17" t="n"/>
      <c r="H4" s="17" t="n"/>
      <c r="I4" s="17" t="n"/>
      <c r="J4" s="17" t="n"/>
    </row>
    <row r="5">
      <c r="A5" s="18" t="inlineStr">
        <is>
          <t>Agriculture &amp; Livestock</t>
        </is>
      </c>
      <c r="C5" s="10">
        <f>SUMIFS(GVA_Nominal!C$2:C$41,GVA_Nominal!$B$2:$B$41,$A5)</f>
        <v/>
      </c>
      <c r="D5" s="10">
        <f>SUMIFS(GVA_Nominal!D$2:D$41,GVA_Nominal!$B$2:$B$41,$A5)</f>
        <v/>
      </c>
      <c r="E5" s="10">
        <f>SUMIFS(GVA_Nominal!E$2:E$41,GVA_Nominal!$B$2:$B$41,$A5)</f>
        <v/>
      </c>
      <c r="F5" s="10">
        <f>SUMIFS(GVA_Nominal!F$2:F$41,GVA_Nominal!$B$2:$B$41,$A5)</f>
        <v/>
      </c>
      <c r="G5" s="10">
        <f>SUMIFS(GVA_Nominal!G$2:G$41,GVA_Nominal!$B$2:$B$41,$A5)</f>
        <v/>
      </c>
      <c r="H5" s="10">
        <f>SUMIFS(GVA_Nominal!H$2:H$41,GVA_Nominal!$B$2:$B$41,$A5)</f>
        <v/>
      </c>
      <c r="I5" s="10">
        <f>SUMIFS(GVA_Nominal!I$2:I$41,GVA_Nominal!$B$2:$B$41,$A5)</f>
        <v/>
      </c>
      <c r="J5" s="10">
        <f>SUMIFS(GVA_Nominal!J$2:J$41,GVA_Nominal!$B$2:$B$41,$A5)</f>
        <v/>
      </c>
    </row>
    <row r="6">
      <c r="A6" s="18" t="inlineStr">
        <is>
          <t>Forestry</t>
        </is>
      </c>
      <c r="C6" s="10">
        <f>SUMIFS(GVA_Nominal!C$2:C$41,GVA_Nominal!$B$2:$B$41,$A6)</f>
        <v/>
      </c>
      <c r="D6" s="10">
        <f>SUMIFS(GVA_Nominal!D$2:D$41,GVA_Nominal!$B$2:$B$41,$A6)</f>
        <v/>
      </c>
      <c r="E6" s="10">
        <f>SUMIFS(GVA_Nominal!E$2:E$41,GVA_Nominal!$B$2:$B$41,$A6)</f>
        <v/>
      </c>
      <c r="F6" s="10">
        <f>SUMIFS(GVA_Nominal!F$2:F$41,GVA_Nominal!$B$2:$B$41,$A6)</f>
        <v/>
      </c>
      <c r="G6" s="10">
        <f>SUMIFS(GVA_Nominal!G$2:G$41,GVA_Nominal!$B$2:$B$41,$A6)</f>
        <v/>
      </c>
      <c r="H6" s="10">
        <f>SUMIFS(GVA_Nominal!H$2:H$41,GVA_Nominal!$B$2:$B$41,$A6)</f>
        <v/>
      </c>
      <c r="I6" s="10">
        <f>SUMIFS(GVA_Nominal!I$2:I$41,GVA_Nominal!$B$2:$B$41,$A6)</f>
        <v/>
      </c>
      <c r="J6" s="10">
        <f>SUMIFS(GVA_Nominal!J$2:J$41,GVA_Nominal!$B$2:$B$41,$A6)</f>
        <v/>
      </c>
    </row>
    <row r="7">
      <c r="A7" s="18" t="inlineStr">
        <is>
          <t>Fishing</t>
        </is>
      </c>
      <c r="C7" s="10">
        <f>SUMIFS(GVA_Nominal!C$2:C$41,GVA_Nominal!$B$2:$B$41,$A7)</f>
        <v/>
      </c>
      <c r="D7" s="10">
        <f>SUMIFS(GVA_Nominal!D$2:D$41,GVA_Nominal!$B$2:$B$41,$A7)</f>
        <v/>
      </c>
      <c r="E7" s="10">
        <f>SUMIFS(GVA_Nominal!E$2:E$41,GVA_Nominal!$B$2:$B$41,$A7)</f>
        <v/>
      </c>
      <c r="F7" s="10">
        <f>SUMIFS(GVA_Nominal!F$2:F$41,GVA_Nominal!$B$2:$B$41,$A7)</f>
        <v/>
      </c>
      <c r="G7" s="10">
        <f>SUMIFS(GVA_Nominal!G$2:G$41,GVA_Nominal!$B$2:$B$41,$A7)</f>
        <v/>
      </c>
      <c r="H7" s="10">
        <f>SUMIFS(GVA_Nominal!H$2:H$41,GVA_Nominal!$B$2:$B$41,$A7)</f>
        <v/>
      </c>
      <c r="I7" s="10">
        <f>SUMIFS(GVA_Nominal!I$2:I$41,GVA_Nominal!$B$2:$B$41,$A7)</f>
        <v/>
      </c>
      <c r="J7" s="10">
        <f>SUMIFS(GVA_Nominal!J$2:J$41,GVA_Nominal!$B$2:$B$41,$A7)</f>
        <v/>
      </c>
    </row>
    <row r="8">
      <c r="A8" s="18" t="inlineStr">
        <is>
          <t>Mining &amp; Quarrying</t>
        </is>
      </c>
      <c r="C8" s="10">
        <f>SUMIFS(GVA_Nominal!C$2:C$41,GVA_Nominal!$B$2:$B$41,$A8)</f>
        <v/>
      </c>
      <c r="D8" s="10">
        <f>SUMIFS(GVA_Nominal!D$2:D$41,GVA_Nominal!$B$2:$B$41,$A8)</f>
        <v/>
      </c>
      <c r="E8" s="10">
        <f>SUMIFS(GVA_Nominal!E$2:E$41,GVA_Nominal!$B$2:$B$41,$A8)</f>
        <v/>
      </c>
      <c r="F8" s="10">
        <f>SUMIFS(GVA_Nominal!F$2:F$41,GVA_Nominal!$B$2:$B$41,$A8)</f>
        <v/>
      </c>
      <c r="G8" s="10">
        <f>SUMIFS(GVA_Nominal!G$2:G$41,GVA_Nominal!$B$2:$B$41,$A8)</f>
        <v/>
      </c>
      <c r="H8" s="10">
        <f>SUMIFS(GVA_Nominal!H$2:H$41,GVA_Nominal!$B$2:$B$41,$A8)</f>
        <v/>
      </c>
      <c r="I8" s="10">
        <f>SUMIFS(GVA_Nominal!I$2:I$41,GVA_Nominal!$B$2:$B$41,$A8)</f>
        <v/>
      </c>
      <c r="J8" s="10">
        <f>SUMIFS(GVA_Nominal!J$2:J$41,GVA_Nominal!$B$2:$B$41,$A8)</f>
        <v/>
      </c>
    </row>
    <row r="9">
      <c r="A9" s="18" t="inlineStr">
        <is>
          <t>Manufacturing</t>
        </is>
      </c>
      <c r="C9" s="10">
        <f>IF(Other_Sectors!C4="",0,Other_Sectors!C4)</f>
        <v/>
      </c>
      <c r="D9" s="10">
        <f>IF(Other_Sectors!D4="",0,Other_Sectors!D4)</f>
        <v/>
      </c>
      <c r="E9" s="10">
        <f>IF(Other_Sectors!E4="",0,Other_Sectors!E4)</f>
        <v/>
      </c>
      <c r="F9" s="10">
        <f>IF(Other_Sectors!F4="",0,Other_Sectors!F4)</f>
        <v/>
      </c>
      <c r="G9" s="10">
        <f>IF(Other_Sectors!G4="",0,Other_Sectors!G4)</f>
        <v/>
      </c>
      <c r="H9" s="10">
        <f>IF(Other_Sectors!H4="",0,Other_Sectors!H4)</f>
        <v/>
      </c>
      <c r="I9" s="10">
        <f>IF(Other_Sectors!I4="",0,Other_Sectors!I4)</f>
        <v/>
      </c>
      <c r="J9" s="10">
        <f>IF(Other_Sectors!J4="",0,Other_Sectors!J4)</f>
        <v/>
      </c>
    </row>
    <row r="10">
      <c r="A10" s="18" t="inlineStr">
        <is>
          <t>Electricity &amp; Water</t>
        </is>
      </c>
      <c r="C10" s="10">
        <f>IF(Other_Sectors!C5="",0,Other_Sectors!C5)</f>
        <v/>
      </c>
      <c r="D10" s="10">
        <f>IF(Other_Sectors!D5="",0,Other_Sectors!D5)</f>
        <v/>
      </c>
      <c r="E10" s="10">
        <f>IF(Other_Sectors!E5="",0,Other_Sectors!E5)</f>
        <v/>
      </c>
      <c r="F10" s="10">
        <f>IF(Other_Sectors!F5="",0,Other_Sectors!F5)</f>
        <v/>
      </c>
      <c r="G10" s="10">
        <f>IF(Other_Sectors!G5="",0,Other_Sectors!G5)</f>
        <v/>
      </c>
      <c r="H10" s="10">
        <f>IF(Other_Sectors!H5="",0,Other_Sectors!H5)</f>
        <v/>
      </c>
      <c r="I10" s="10">
        <f>IF(Other_Sectors!I5="",0,Other_Sectors!I5)</f>
        <v/>
      </c>
      <c r="J10" s="10">
        <f>IF(Other_Sectors!J5="",0,Other_Sectors!J5)</f>
        <v/>
      </c>
    </row>
    <row r="11">
      <c r="A11" s="18" t="inlineStr">
        <is>
          <t>Construction</t>
        </is>
      </c>
      <c r="C11" s="10">
        <f>IF(Other_Sectors!C6="",0,Other_Sectors!C6)</f>
        <v/>
      </c>
      <c r="D11" s="10">
        <f>IF(Other_Sectors!D6="",0,Other_Sectors!D6)</f>
        <v/>
      </c>
      <c r="E11" s="10">
        <f>IF(Other_Sectors!E6="",0,Other_Sectors!E6)</f>
        <v/>
      </c>
      <c r="F11" s="10">
        <f>IF(Other_Sectors!F6="",0,Other_Sectors!F6)</f>
        <v/>
      </c>
      <c r="G11" s="10">
        <f>IF(Other_Sectors!G6="",0,Other_Sectors!G6)</f>
        <v/>
      </c>
      <c r="H11" s="10">
        <f>IF(Other_Sectors!H6="",0,Other_Sectors!H6)</f>
        <v/>
      </c>
      <c r="I11" s="10">
        <f>IF(Other_Sectors!I6="",0,Other_Sectors!I6)</f>
        <v/>
      </c>
      <c r="J11" s="10">
        <f>IF(Other_Sectors!J6="",0,Other_Sectors!J6)</f>
        <v/>
      </c>
    </row>
    <row r="12">
      <c r="A12" s="18" t="inlineStr">
        <is>
          <t>Wholesale &amp; Retail Trade</t>
        </is>
      </c>
      <c r="C12" s="10">
        <f>IF(Other_Sectors!C7="",0,Other_Sectors!C7)</f>
        <v/>
      </c>
      <c r="D12" s="10">
        <f>IF(Other_Sectors!D7="",0,Other_Sectors!D7)</f>
        <v/>
      </c>
      <c r="E12" s="10">
        <f>IF(Other_Sectors!E7="",0,Other_Sectors!E7)</f>
        <v/>
      </c>
      <c r="F12" s="10">
        <f>IF(Other_Sectors!F7="",0,Other_Sectors!F7)</f>
        <v/>
      </c>
      <c r="G12" s="10">
        <f>IF(Other_Sectors!G7="",0,Other_Sectors!G7)</f>
        <v/>
      </c>
      <c r="H12" s="10">
        <f>IF(Other_Sectors!H7="",0,Other_Sectors!H7)</f>
        <v/>
      </c>
      <c r="I12" s="10">
        <f>IF(Other_Sectors!I7="",0,Other_Sectors!I7)</f>
        <v/>
      </c>
      <c r="J12" s="10">
        <f>IF(Other_Sectors!J7="",0,Other_Sectors!J7)</f>
        <v/>
      </c>
    </row>
    <row r="13">
      <c r="A13" s="18" t="inlineStr">
        <is>
          <t>Transport &amp; Storage</t>
        </is>
      </c>
      <c r="C13" s="10">
        <f>IF(Other_Sectors!C8="",0,Other_Sectors!C8)</f>
        <v/>
      </c>
      <c r="D13" s="10">
        <f>IF(Other_Sectors!D8="",0,Other_Sectors!D8)</f>
        <v/>
      </c>
      <c r="E13" s="10">
        <f>IF(Other_Sectors!E8="",0,Other_Sectors!E8)</f>
        <v/>
      </c>
      <c r="F13" s="10">
        <f>IF(Other_Sectors!F8="",0,Other_Sectors!F8)</f>
        <v/>
      </c>
      <c r="G13" s="10">
        <f>IF(Other_Sectors!G8="",0,Other_Sectors!G8)</f>
        <v/>
      </c>
      <c r="H13" s="10">
        <f>IF(Other_Sectors!H8="",0,Other_Sectors!H8)</f>
        <v/>
      </c>
      <c r="I13" s="10">
        <f>IF(Other_Sectors!I8="",0,Other_Sectors!I8)</f>
        <v/>
      </c>
      <c r="J13" s="10">
        <f>IF(Other_Sectors!J8="",0,Other_Sectors!J8)</f>
        <v/>
      </c>
    </row>
    <row r="14">
      <c r="A14" s="18" t="inlineStr">
        <is>
          <t>Accommodation &amp; Food Services</t>
        </is>
      </c>
      <c r="C14" s="10">
        <f>IF(Other_Sectors!C9="",0,Other_Sectors!C9)</f>
        <v/>
      </c>
      <c r="D14" s="10">
        <f>IF(Other_Sectors!D9="",0,Other_Sectors!D9)</f>
        <v/>
      </c>
      <c r="E14" s="10">
        <f>IF(Other_Sectors!E9="",0,Other_Sectors!E9)</f>
        <v/>
      </c>
      <c r="F14" s="10">
        <f>IF(Other_Sectors!F9="",0,Other_Sectors!F9)</f>
        <v/>
      </c>
      <c r="G14" s="10">
        <f>IF(Other_Sectors!G9="",0,Other_Sectors!G9)</f>
        <v/>
      </c>
      <c r="H14" s="10">
        <f>IF(Other_Sectors!H9="",0,Other_Sectors!H9)</f>
        <v/>
      </c>
      <c r="I14" s="10">
        <f>IF(Other_Sectors!I9="",0,Other_Sectors!I9)</f>
        <v/>
      </c>
      <c r="J14" s="10">
        <f>IF(Other_Sectors!J9="",0,Other_Sectors!J9)</f>
        <v/>
      </c>
    </row>
    <row r="15">
      <c r="A15" s="18" t="inlineStr">
        <is>
          <t>Information &amp; Communication</t>
        </is>
      </c>
      <c r="C15" s="10">
        <f>IF(Other_Sectors!C10="",0,Other_Sectors!C10)</f>
        <v/>
      </c>
      <c r="D15" s="10">
        <f>IF(Other_Sectors!D10="",0,Other_Sectors!D10)</f>
        <v/>
      </c>
      <c r="E15" s="10">
        <f>IF(Other_Sectors!E10="",0,Other_Sectors!E10)</f>
        <v/>
      </c>
      <c r="F15" s="10">
        <f>IF(Other_Sectors!F10="",0,Other_Sectors!F10)</f>
        <v/>
      </c>
      <c r="G15" s="10">
        <f>IF(Other_Sectors!G10="",0,Other_Sectors!G10)</f>
        <v/>
      </c>
      <c r="H15" s="10">
        <f>IF(Other_Sectors!H10="",0,Other_Sectors!H10)</f>
        <v/>
      </c>
      <c r="I15" s="10">
        <f>IF(Other_Sectors!I10="",0,Other_Sectors!I10)</f>
        <v/>
      </c>
      <c r="J15" s="10">
        <f>IF(Other_Sectors!J10="",0,Other_Sectors!J10)</f>
        <v/>
      </c>
    </row>
    <row r="16">
      <c r="A16" s="18" t="inlineStr">
        <is>
          <t>Financial &amp; Insurance Services</t>
        </is>
      </c>
      <c r="C16" s="10">
        <f>IF(Other_Sectors!C11="",0,Other_Sectors!C11)</f>
        <v/>
      </c>
      <c r="D16" s="10">
        <f>IF(Other_Sectors!D11="",0,Other_Sectors!D11)</f>
        <v/>
      </c>
      <c r="E16" s="10">
        <f>IF(Other_Sectors!E11="",0,Other_Sectors!E11)</f>
        <v/>
      </c>
      <c r="F16" s="10">
        <f>IF(Other_Sectors!F11="",0,Other_Sectors!F11)</f>
        <v/>
      </c>
      <c r="G16" s="10">
        <f>IF(Other_Sectors!G11="",0,Other_Sectors!G11)</f>
        <v/>
      </c>
      <c r="H16" s="10">
        <f>IF(Other_Sectors!H11="",0,Other_Sectors!H11)</f>
        <v/>
      </c>
      <c r="I16" s="10">
        <f>IF(Other_Sectors!I11="",0,Other_Sectors!I11)</f>
        <v/>
      </c>
      <c r="J16" s="10">
        <f>IF(Other_Sectors!J11="",0,Other_Sectors!J11)</f>
        <v/>
      </c>
    </row>
    <row r="17">
      <c r="A17" s="18" t="inlineStr">
        <is>
          <t>Real Estate</t>
        </is>
      </c>
      <c r="C17" s="10">
        <f>IF(Other_Sectors!C12="",0,Other_Sectors!C12)</f>
        <v/>
      </c>
      <c r="D17" s="10">
        <f>IF(Other_Sectors!D12="",0,Other_Sectors!D12)</f>
        <v/>
      </c>
      <c r="E17" s="10">
        <f>IF(Other_Sectors!E12="",0,Other_Sectors!E12)</f>
        <v/>
      </c>
      <c r="F17" s="10">
        <f>IF(Other_Sectors!F12="",0,Other_Sectors!F12)</f>
        <v/>
      </c>
      <c r="G17" s="10">
        <f>IF(Other_Sectors!G12="",0,Other_Sectors!G12)</f>
        <v/>
      </c>
      <c r="H17" s="10">
        <f>IF(Other_Sectors!H12="",0,Other_Sectors!H12)</f>
        <v/>
      </c>
      <c r="I17" s="10">
        <f>IF(Other_Sectors!I12="",0,Other_Sectors!I12)</f>
        <v/>
      </c>
      <c r="J17" s="10">
        <f>IF(Other_Sectors!J12="",0,Other_Sectors!J12)</f>
        <v/>
      </c>
    </row>
    <row r="18">
      <c r="A18" s="18" t="inlineStr">
        <is>
          <t>Public Administration</t>
        </is>
      </c>
      <c r="C18" s="10">
        <f>IF(Other_Sectors!C13="",0,Other_Sectors!C13)</f>
        <v/>
      </c>
      <c r="D18" s="10">
        <f>IF(Other_Sectors!D13="",0,Other_Sectors!D13)</f>
        <v/>
      </c>
      <c r="E18" s="10">
        <f>IF(Other_Sectors!E13="",0,Other_Sectors!E13)</f>
        <v/>
      </c>
      <c r="F18" s="10">
        <f>IF(Other_Sectors!F13="",0,Other_Sectors!F13)</f>
        <v/>
      </c>
      <c r="G18" s="10">
        <f>IF(Other_Sectors!G13="",0,Other_Sectors!G13)</f>
        <v/>
      </c>
      <c r="H18" s="10">
        <f>IF(Other_Sectors!H13="",0,Other_Sectors!H13)</f>
        <v/>
      </c>
      <c r="I18" s="10">
        <f>IF(Other_Sectors!I13="",0,Other_Sectors!I13)</f>
        <v/>
      </c>
      <c r="J18" s="10">
        <f>IF(Other_Sectors!J13="",0,Other_Sectors!J13)</f>
        <v/>
      </c>
    </row>
    <row r="19">
      <c r="A19" s="18" t="inlineStr">
        <is>
          <t>Education &amp; Health</t>
        </is>
      </c>
      <c r="C19" s="10">
        <f>IF(Other_Sectors!C14="",0,Other_Sectors!C14)</f>
        <v/>
      </c>
      <c r="D19" s="10">
        <f>IF(Other_Sectors!D14="",0,Other_Sectors!D14)</f>
        <v/>
      </c>
      <c r="E19" s="10">
        <f>IF(Other_Sectors!E14="",0,Other_Sectors!E14)</f>
        <v/>
      </c>
      <c r="F19" s="10">
        <f>IF(Other_Sectors!F14="",0,Other_Sectors!F14)</f>
        <v/>
      </c>
      <c r="G19" s="10">
        <f>IF(Other_Sectors!G14="",0,Other_Sectors!G14)</f>
        <v/>
      </c>
      <c r="H19" s="10">
        <f>IF(Other_Sectors!H14="",0,Other_Sectors!H14)</f>
        <v/>
      </c>
      <c r="I19" s="10">
        <f>IF(Other_Sectors!I14="",0,Other_Sectors!I14)</f>
        <v/>
      </c>
      <c r="J19" s="10">
        <f>IF(Other_Sectors!J14="",0,Other_Sectors!J14)</f>
        <v/>
      </c>
    </row>
    <row r="20">
      <c r="A20" s="18" t="inlineStr">
        <is>
          <t>Other Services</t>
        </is>
      </c>
      <c r="C20" s="10">
        <f>IF(Other_Sectors!C15="",0,Other_Sectors!C15)</f>
        <v/>
      </c>
      <c r="D20" s="10">
        <f>IF(Other_Sectors!D15="",0,Other_Sectors!D15)</f>
        <v/>
      </c>
      <c r="E20" s="10">
        <f>IF(Other_Sectors!E15="",0,Other_Sectors!E15)</f>
        <v/>
      </c>
      <c r="F20" s="10">
        <f>IF(Other_Sectors!F15="",0,Other_Sectors!F15)</f>
        <v/>
      </c>
      <c r="G20" s="10">
        <f>IF(Other_Sectors!G15="",0,Other_Sectors!G15)</f>
        <v/>
      </c>
      <c r="H20" s="10">
        <f>IF(Other_Sectors!H15="",0,Other_Sectors!H15)</f>
        <v/>
      </c>
      <c r="I20" s="10">
        <f>IF(Other_Sectors!I15="",0,Other_Sectors!I15)</f>
        <v/>
      </c>
      <c r="J20" s="10">
        <f>IF(Other_Sectors!J15="",0,Other_Sectors!J15)</f>
        <v/>
      </c>
    </row>
    <row r="21">
      <c r="A21" s="11" t="inlineStr">
        <is>
          <t>Gross Value Added at basic prices</t>
        </is>
      </c>
      <c r="C21" s="13">
        <f>SUM(C5:C20)</f>
        <v/>
      </c>
      <c r="D21" s="13">
        <f>SUM(D5:D20)</f>
        <v/>
      </c>
      <c r="E21" s="13">
        <f>SUM(E5:E20)</f>
        <v/>
      </c>
      <c r="F21" s="13">
        <f>SUM(F5:F20)</f>
        <v/>
      </c>
      <c r="G21" s="13">
        <f>SUM(G5:G20)</f>
        <v/>
      </c>
      <c r="H21" s="13">
        <f>SUM(H5:H20)</f>
        <v/>
      </c>
      <c r="I21" s="13">
        <f>SUM(I5:I20)</f>
        <v/>
      </c>
      <c r="J21" s="13">
        <f>SUM(J5:J20)</f>
        <v/>
      </c>
    </row>
    <row r="22">
      <c r="A22" s="18" t="inlineStr">
        <is>
          <t>Taxes less subsidies on products  [input]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1" t="inlineStr">
        <is>
          <t>GDP at market prices — NOMINAL</t>
        </is>
      </c>
      <c r="C23" s="13">
        <f>IF(C21=0,"",C21+IF(C22="",0,C22))</f>
        <v/>
      </c>
      <c r="D23" s="13">
        <f>IF(D21=0,"",D21+IF(D22="",0,D22))</f>
        <v/>
      </c>
      <c r="E23" s="13">
        <f>IF(E21=0,"",E21+IF(E22="",0,E22))</f>
        <v/>
      </c>
      <c r="F23" s="13">
        <f>IF(F21=0,"",F21+IF(F22="",0,F22))</f>
        <v/>
      </c>
      <c r="G23" s="13">
        <f>IF(G21=0,"",G21+IF(G22="",0,G22))</f>
        <v/>
      </c>
      <c r="H23" s="13">
        <f>IF(H21=0,"",H21+IF(H22="",0,H22))</f>
        <v/>
      </c>
      <c r="I23" s="13">
        <f>IF(I21=0,"",I21+IF(I22="",0,I22))</f>
        <v/>
      </c>
      <c r="J23" s="13">
        <f>IF(J21=0,"",J21+IF(J22="",0,J22))</f>
        <v/>
      </c>
    </row>
    <row r="25">
      <c r="A25" s="16" t="inlineStr">
        <is>
          <t>REAL — constant base-year prices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>
      <c r="A26" s="18" t="inlineStr">
        <is>
          <t>Agriculture &amp; Livestock</t>
        </is>
      </c>
      <c r="C26" s="10">
        <f>SUMIFS(GVA_Real!C$2:C$41,GVA_Real!$B$2:$B$41,$A26)</f>
        <v/>
      </c>
      <c r="D26" s="10">
        <f>SUMIFS(GVA_Real!D$2:D$41,GVA_Real!$B$2:$B$41,$A26)</f>
        <v/>
      </c>
      <c r="E26" s="10">
        <f>SUMIFS(GVA_Real!E$2:E$41,GVA_Real!$B$2:$B$41,$A26)</f>
        <v/>
      </c>
      <c r="F26" s="10">
        <f>SUMIFS(GVA_Real!F$2:F$41,GVA_Real!$B$2:$B$41,$A26)</f>
        <v/>
      </c>
      <c r="G26" s="10">
        <f>SUMIFS(GVA_Real!G$2:G$41,GVA_Real!$B$2:$B$41,$A26)</f>
        <v/>
      </c>
      <c r="H26" s="10">
        <f>SUMIFS(GVA_Real!H$2:H$41,GVA_Real!$B$2:$B$41,$A26)</f>
        <v/>
      </c>
      <c r="I26" s="10">
        <f>SUMIFS(GVA_Real!I$2:I$41,GVA_Real!$B$2:$B$41,$A26)</f>
        <v/>
      </c>
      <c r="J26" s="10">
        <f>SUMIFS(GVA_Real!J$2:J$41,GVA_Real!$B$2:$B$41,$A26)</f>
        <v/>
      </c>
    </row>
    <row r="27">
      <c r="A27" s="18" t="inlineStr">
        <is>
          <t>Forestry</t>
        </is>
      </c>
      <c r="C27" s="10">
        <f>SUMIFS(GVA_Real!C$2:C$41,GVA_Real!$B$2:$B$41,$A27)</f>
        <v/>
      </c>
      <c r="D27" s="10">
        <f>SUMIFS(GVA_Real!D$2:D$41,GVA_Real!$B$2:$B$41,$A27)</f>
        <v/>
      </c>
      <c r="E27" s="10">
        <f>SUMIFS(GVA_Real!E$2:E$41,GVA_Real!$B$2:$B$41,$A27)</f>
        <v/>
      </c>
      <c r="F27" s="10">
        <f>SUMIFS(GVA_Real!F$2:F$41,GVA_Real!$B$2:$B$41,$A27)</f>
        <v/>
      </c>
      <c r="G27" s="10">
        <f>SUMIFS(GVA_Real!G$2:G$41,GVA_Real!$B$2:$B$41,$A27)</f>
        <v/>
      </c>
      <c r="H27" s="10">
        <f>SUMIFS(GVA_Real!H$2:H$41,GVA_Real!$B$2:$B$41,$A27)</f>
        <v/>
      </c>
      <c r="I27" s="10">
        <f>SUMIFS(GVA_Real!I$2:I$41,GVA_Real!$B$2:$B$41,$A27)</f>
        <v/>
      </c>
      <c r="J27" s="10">
        <f>SUMIFS(GVA_Real!J$2:J$41,GVA_Real!$B$2:$B$41,$A27)</f>
        <v/>
      </c>
    </row>
    <row r="28">
      <c r="A28" s="18" t="inlineStr">
        <is>
          <t>Fishing</t>
        </is>
      </c>
      <c r="C28" s="10">
        <f>SUMIFS(GVA_Real!C$2:C$41,GVA_Real!$B$2:$B$41,$A28)</f>
        <v/>
      </c>
      <c r="D28" s="10">
        <f>SUMIFS(GVA_Real!D$2:D$41,GVA_Real!$B$2:$B$41,$A28)</f>
        <v/>
      </c>
      <c r="E28" s="10">
        <f>SUMIFS(GVA_Real!E$2:E$41,GVA_Real!$B$2:$B$41,$A28)</f>
        <v/>
      </c>
      <c r="F28" s="10">
        <f>SUMIFS(GVA_Real!F$2:F$41,GVA_Real!$B$2:$B$41,$A28)</f>
        <v/>
      </c>
      <c r="G28" s="10">
        <f>SUMIFS(GVA_Real!G$2:G$41,GVA_Real!$B$2:$B$41,$A28)</f>
        <v/>
      </c>
      <c r="H28" s="10">
        <f>SUMIFS(GVA_Real!H$2:H$41,GVA_Real!$B$2:$B$41,$A28)</f>
        <v/>
      </c>
      <c r="I28" s="10">
        <f>SUMIFS(GVA_Real!I$2:I$41,GVA_Real!$B$2:$B$41,$A28)</f>
        <v/>
      </c>
      <c r="J28" s="10">
        <f>SUMIFS(GVA_Real!J$2:J$41,GVA_Real!$B$2:$B$41,$A28)</f>
        <v/>
      </c>
    </row>
    <row r="29">
      <c r="A29" s="18" t="inlineStr">
        <is>
          <t>Mining &amp; Quarrying</t>
        </is>
      </c>
      <c r="C29" s="10">
        <f>SUMIFS(GVA_Real!C$2:C$41,GVA_Real!$B$2:$B$41,$A29)</f>
        <v/>
      </c>
      <c r="D29" s="10">
        <f>SUMIFS(GVA_Real!D$2:D$41,GVA_Real!$B$2:$B$41,$A29)</f>
        <v/>
      </c>
      <c r="E29" s="10">
        <f>SUMIFS(GVA_Real!E$2:E$41,GVA_Real!$B$2:$B$41,$A29)</f>
        <v/>
      </c>
      <c r="F29" s="10">
        <f>SUMIFS(GVA_Real!F$2:F$41,GVA_Real!$B$2:$B$41,$A29)</f>
        <v/>
      </c>
      <c r="G29" s="10">
        <f>SUMIFS(GVA_Real!G$2:G$41,GVA_Real!$B$2:$B$41,$A29)</f>
        <v/>
      </c>
      <c r="H29" s="10">
        <f>SUMIFS(GVA_Real!H$2:H$41,GVA_Real!$B$2:$B$41,$A29)</f>
        <v/>
      </c>
      <c r="I29" s="10">
        <f>SUMIFS(GVA_Real!I$2:I$41,GVA_Real!$B$2:$B$41,$A29)</f>
        <v/>
      </c>
      <c r="J29" s="10">
        <f>SUMIFS(GVA_Real!J$2:J$41,GVA_Real!$B$2:$B$41,$A29)</f>
        <v/>
      </c>
    </row>
    <row r="30">
      <c r="A30" s="18" t="inlineStr">
        <is>
          <t>Manufacturing</t>
        </is>
      </c>
      <c r="C30" s="10">
        <f>IF(Other_Sectors!C19="",0,Other_Sectors!C19)</f>
        <v/>
      </c>
      <c r="D30" s="10">
        <f>IF(Other_Sectors!D19="",0,Other_Sectors!D19)</f>
        <v/>
      </c>
      <c r="E30" s="10">
        <f>IF(Other_Sectors!E19="",0,Other_Sectors!E19)</f>
        <v/>
      </c>
      <c r="F30" s="10">
        <f>IF(Other_Sectors!F19="",0,Other_Sectors!F19)</f>
        <v/>
      </c>
      <c r="G30" s="10">
        <f>IF(Other_Sectors!G19="",0,Other_Sectors!G19)</f>
        <v/>
      </c>
      <c r="H30" s="10">
        <f>IF(Other_Sectors!H19="",0,Other_Sectors!H19)</f>
        <v/>
      </c>
      <c r="I30" s="10">
        <f>IF(Other_Sectors!I19="",0,Other_Sectors!I19)</f>
        <v/>
      </c>
      <c r="J30" s="10">
        <f>IF(Other_Sectors!J19="",0,Other_Sectors!J19)</f>
        <v/>
      </c>
    </row>
    <row r="31">
      <c r="A31" s="18" t="inlineStr">
        <is>
          <t>Electricity &amp; Water</t>
        </is>
      </c>
      <c r="C31" s="10">
        <f>IF(Other_Sectors!C20="",0,Other_Sectors!C20)</f>
        <v/>
      </c>
      <c r="D31" s="10">
        <f>IF(Other_Sectors!D20="",0,Other_Sectors!D20)</f>
        <v/>
      </c>
      <c r="E31" s="10">
        <f>IF(Other_Sectors!E20="",0,Other_Sectors!E20)</f>
        <v/>
      </c>
      <c r="F31" s="10">
        <f>IF(Other_Sectors!F20="",0,Other_Sectors!F20)</f>
        <v/>
      </c>
      <c r="G31" s="10">
        <f>IF(Other_Sectors!G20="",0,Other_Sectors!G20)</f>
        <v/>
      </c>
      <c r="H31" s="10">
        <f>IF(Other_Sectors!H20="",0,Other_Sectors!H20)</f>
        <v/>
      </c>
      <c r="I31" s="10">
        <f>IF(Other_Sectors!I20="",0,Other_Sectors!I20)</f>
        <v/>
      </c>
      <c r="J31" s="10">
        <f>IF(Other_Sectors!J20="",0,Other_Sectors!J20)</f>
        <v/>
      </c>
    </row>
    <row r="32">
      <c r="A32" s="18" t="inlineStr">
        <is>
          <t>Construction</t>
        </is>
      </c>
      <c r="C32" s="10">
        <f>IF(Other_Sectors!C21="",0,Other_Sectors!C21)</f>
        <v/>
      </c>
      <c r="D32" s="10">
        <f>IF(Other_Sectors!D21="",0,Other_Sectors!D21)</f>
        <v/>
      </c>
      <c r="E32" s="10">
        <f>IF(Other_Sectors!E21="",0,Other_Sectors!E21)</f>
        <v/>
      </c>
      <c r="F32" s="10">
        <f>IF(Other_Sectors!F21="",0,Other_Sectors!F21)</f>
        <v/>
      </c>
      <c r="G32" s="10">
        <f>IF(Other_Sectors!G21="",0,Other_Sectors!G21)</f>
        <v/>
      </c>
      <c r="H32" s="10">
        <f>IF(Other_Sectors!H21="",0,Other_Sectors!H21)</f>
        <v/>
      </c>
      <c r="I32" s="10">
        <f>IF(Other_Sectors!I21="",0,Other_Sectors!I21)</f>
        <v/>
      </c>
      <c r="J32" s="10">
        <f>IF(Other_Sectors!J21="",0,Other_Sectors!J21)</f>
        <v/>
      </c>
    </row>
    <row r="33">
      <c r="A33" s="18" t="inlineStr">
        <is>
          <t>Wholesale &amp; Retail Trade</t>
        </is>
      </c>
      <c r="C33" s="10">
        <f>IF(Other_Sectors!C22="",0,Other_Sectors!C22)</f>
        <v/>
      </c>
      <c r="D33" s="10">
        <f>IF(Other_Sectors!D22="",0,Other_Sectors!D22)</f>
        <v/>
      </c>
      <c r="E33" s="10">
        <f>IF(Other_Sectors!E22="",0,Other_Sectors!E22)</f>
        <v/>
      </c>
      <c r="F33" s="10">
        <f>IF(Other_Sectors!F22="",0,Other_Sectors!F22)</f>
        <v/>
      </c>
      <c r="G33" s="10">
        <f>IF(Other_Sectors!G22="",0,Other_Sectors!G22)</f>
        <v/>
      </c>
      <c r="H33" s="10">
        <f>IF(Other_Sectors!H22="",0,Other_Sectors!H22)</f>
        <v/>
      </c>
      <c r="I33" s="10">
        <f>IF(Other_Sectors!I22="",0,Other_Sectors!I22)</f>
        <v/>
      </c>
      <c r="J33" s="10">
        <f>IF(Other_Sectors!J22="",0,Other_Sectors!J22)</f>
        <v/>
      </c>
    </row>
    <row r="34">
      <c r="A34" s="18" t="inlineStr">
        <is>
          <t>Transport &amp; Storage</t>
        </is>
      </c>
      <c r="C34" s="10">
        <f>IF(Other_Sectors!C23="",0,Other_Sectors!C23)</f>
        <v/>
      </c>
      <c r="D34" s="10">
        <f>IF(Other_Sectors!D23="",0,Other_Sectors!D23)</f>
        <v/>
      </c>
      <c r="E34" s="10">
        <f>IF(Other_Sectors!E23="",0,Other_Sectors!E23)</f>
        <v/>
      </c>
      <c r="F34" s="10">
        <f>IF(Other_Sectors!F23="",0,Other_Sectors!F23)</f>
        <v/>
      </c>
      <c r="G34" s="10">
        <f>IF(Other_Sectors!G23="",0,Other_Sectors!G23)</f>
        <v/>
      </c>
      <c r="H34" s="10">
        <f>IF(Other_Sectors!H23="",0,Other_Sectors!H23)</f>
        <v/>
      </c>
      <c r="I34" s="10">
        <f>IF(Other_Sectors!I23="",0,Other_Sectors!I23)</f>
        <v/>
      </c>
      <c r="J34" s="10">
        <f>IF(Other_Sectors!J23="",0,Other_Sectors!J23)</f>
        <v/>
      </c>
    </row>
    <row r="35">
      <c r="A35" s="18" t="inlineStr">
        <is>
          <t>Accommodation &amp; Food Services</t>
        </is>
      </c>
      <c r="C35" s="10">
        <f>IF(Other_Sectors!C24="",0,Other_Sectors!C24)</f>
        <v/>
      </c>
      <c r="D35" s="10">
        <f>IF(Other_Sectors!D24="",0,Other_Sectors!D24)</f>
        <v/>
      </c>
      <c r="E35" s="10">
        <f>IF(Other_Sectors!E24="",0,Other_Sectors!E24)</f>
        <v/>
      </c>
      <c r="F35" s="10">
        <f>IF(Other_Sectors!F24="",0,Other_Sectors!F24)</f>
        <v/>
      </c>
      <c r="G35" s="10">
        <f>IF(Other_Sectors!G24="",0,Other_Sectors!G24)</f>
        <v/>
      </c>
      <c r="H35" s="10">
        <f>IF(Other_Sectors!H24="",0,Other_Sectors!H24)</f>
        <v/>
      </c>
      <c r="I35" s="10">
        <f>IF(Other_Sectors!I24="",0,Other_Sectors!I24)</f>
        <v/>
      </c>
      <c r="J35" s="10">
        <f>IF(Other_Sectors!J24="",0,Other_Sectors!J24)</f>
        <v/>
      </c>
    </row>
    <row r="36">
      <c r="A36" s="18" t="inlineStr">
        <is>
          <t>Information &amp; Communication</t>
        </is>
      </c>
      <c r="C36" s="10">
        <f>IF(Other_Sectors!C25="",0,Other_Sectors!C25)</f>
        <v/>
      </c>
      <c r="D36" s="10">
        <f>IF(Other_Sectors!D25="",0,Other_Sectors!D25)</f>
        <v/>
      </c>
      <c r="E36" s="10">
        <f>IF(Other_Sectors!E25="",0,Other_Sectors!E25)</f>
        <v/>
      </c>
      <c r="F36" s="10">
        <f>IF(Other_Sectors!F25="",0,Other_Sectors!F25)</f>
        <v/>
      </c>
      <c r="G36" s="10">
        <f>IF(Other_Sectors!G25="",0,Other_Sectors!G25)</f>
        <v/>
      </c>
      <c r="H36" s="10">
        <f>IF(Other_Sectors!H25="",0,Other_Sectors!H25)</f>
        <v/>
      </c>
      <c r="I36" s="10">
        <f>IF(Other_Sectors!I25="",0,Other_Sectors!I25)</f>
        <v/>
      </c>
      <c r="J36" s="10">
        <f>IF(Other_Sectors!J25="",0,Other_Sectors!J25)</f>
        <v/>
      </c>
    </row>
    <row r="37">
      <c r="A37" s="18" t="inlineStr">
        <is>
          <t>Financial &amp; Insurance Services</t>
        </is>
      </c>
      <c r="C37" s="10">
        <f>IF(Other_Sectors!C26="",0,Other_Sectors!C26)</f>
        <v/>
      </c>
      <c r="D37" s="10">
        <f>IF(Other_Sectors!D26="",0,Other_Sectors!D26)</f>
        <v/>
      </c>
      <c r="E37" s="10">
        <f>IF(Other_Sectors!E26="",0,Other_Sectors!E26)</f>
        <v/>
      </c>
      <c r="F37" s="10">
        <f>IF(Other_Sectors!F26="",0,Other_Sectors!F26)</f>
        <v/>
      </c>
      <c r="G37" s="10">
        <f>IF(Other_Sectors!G26="",0,Other_Sectors!G26)</f>
        <v/>
      </c>
      <c r="H37" s="10">
        <f>IF(Other_Sectors!H26="",0,Other_Sectors!H26)</f>
        <v/>
      </c>
      <c r="I37" s="10">
        <f>IF(Other_Sectors!I26="",0,Other_Sectors!I26)</f>
        <v/>
      </c>
      <c r="J37" s="10">
        <f>IF(Other_Sectors!J26="",0,Other_Sectors!J26)</f>
        <v/>
      </c>
    </row>
    <row r="38">
      <c r="A38" s="18" t="inlineStr">
        <is>
          <t>Real Estate</t>
        </is>
      </c>
      <c r="C38" s="10">
        <f>IF(Other_Sectors!C27="",0,Other_Sectors!C27)</f>
        <v/>
      </c>
      <c r="D38" s="10">
        <f>IF(Other_Sectors!D27="",0,Other_Sectors!D27)</f>
        <v/>
      </c>
      <c r="E38" s="10">
        <f>IF(Other_Sectors!E27="",0,Other_Sectors!E27)</f>
        <v/>
      </c>
      <c r="F38" s="10">
        <f>IF(Other_Sectors!F27="",0,Other_Sectors!F27)</f>
        <v/>
      </c>
      <c r="G38" s="10">
        <f>IF(Other_Sectors!G27="",0,Other_Sectors!G27)</f>
        <v/>
      </c>
      <c r="H38" s="10">
        <f>IF(Other_Sectors!H27="",0,Other_Sectors!H27)</f>
        <v/>
      </c>
      <c r="I38" s="10">
        <f>IF(Other_Sectors!I27="",0,Other_Sectors!I27)</f>
        <v/>
      </c>
      <c r="J38" s="10">
        <f>IF(Other_Sectors!J27="",0,Other_Sectors!J27)</f>
        <v/>
      </c>
    </row>
    <row r="39">
      <c r="A39" s="18" t="inlineStr">
        <is>
          <t>Public Administration</t>
        </is>
      </c>
      <c r="C39" s="10">
        <f>IF(Other_Sectors!C28="",0,Other_Sectors!C28)</f>
        <v/>
      </c>
      <c r="D39" s="10">
        <f>IF(Other_Sectors!D28="",0,Other_Sectors!D28)</f>
        <v/>
      </c>
      <c r="E39" s="10">
        <f>IF(Other_Sectors!E28="",0,Other_Sectors!E28)</f>
        <v/>
      </c>
      <c r="F39" s="10">
        <f>IF(Other_Sectors!F28="",0,Other_Sectors!F28)</f>
        <v/>
      </c>
      <c r="G39" s="10">
        <f>IF(Other_Sectors!G28="",0,Other_Sectors!G28)</f>
        <v/>
      </c>
      <c r="H39" s="10">
        <f>IF(Other_Sectors!H28="",0,Other_Sectors!H28)</f>
        <v/>
      </c>
      <c r="I39" s="10">
        <f>IF(Other_Sectors!I28="",0,Other_Sectors!I28)</f>
        <v/>
      </c>
      <c r="J39" s="10">
        <f>IF(Other_Sectors!J28="",0,Other_Sectors!J28)</f>
        <v/>
      </c>
    </row>
    <row r="40">
      <c r="A40" s="18" t="inlineStr">
        <is>
          <t>Education &amp; Health</t>
        </is>
      </c>
      <c r="C40" s="10">
        <f>IF(Other_Sectors!C29="",0,Other_Sectors!C29)</f>
        <v/>
      </c>
      <c r="D40" s="10">
        <f>IF(Other_Sectors!D29="",0,Other_Sectors!D29)</f>
        <v/>
      </c>
      <c r="E40" s="10">
        <f>IF(Other_Sectors!E29="",0,Other_Sectors!E29)</f>
        <v/>
      </c>
      <c r="F40" s="10">
        <f>IF(Other_Sectors!F29="",0,Other_Sectors!F29)</f>
        <v/>
      </c>
      <c r="G40" s="10">
        <f>IF(Other_Sectors!G29="",0,Other_Sectors!G29)</f>
        <v/>
      </c>
      <c r="H40" s="10">
        <f>IF(Other_Sectors!H29="",0,Other_Sectors!H29)</f>
        <v/>
      </c>
      <c r="I40" s="10">
        <f>IF(Other_Sectors!I29="",0,Other_Sectors!I29)</f>
        <v/>
      </c>
      <c r="J40" s="10">
        <f>IF(Other_Sectors!J29="",0,Other_Sectors!J29)</f>
        <v/>
      </c>
    </row>
    <row r="41">
      <c r="A41" s="18" t="inlineStr">
        <is>
          <t>Other Services</t>
        </is>
      </c>
      <c r="C41" s="10">
        <f>IF(Other_Sectors!C30="",0,Other_Sectors!C30)</f>
        <v/>
      </c>
      <c r="D41" s="10">
        <f>IF(Other_Sectors!D30="",0,Other_Sectors!D30)</f>
        <v/>
      </c>
      <c r="E41" s="10">
        <f>IF(Other_Sectors!E30="",0,Other_Sectors!E30)</f>
        <v/>
      </c>
      <c r="F41" s="10">
        <f>IF(Other_Sectors!F30="",0,Other_Sectors!F30)</f>
        <v/>
      </c>
      <c r="G41" s="10">
        <f>IF(Other_Sectors!G30="",0,Other_Sectors!G30)</f>
        <v/>
      </c>
      <c r="H41" s="10">
        <f>IF(Other_Sectors!H30="",0,Other_Sectors!H30)</f>
        <v/>
      </c>
      <c r="I41" s="10">
        <f>IF(Other_Sectors!I30="",0,Other_Sectors!I30)</f>
        <v/>
      </c>
      <c r="J41" s="10">
        <f>IF(Other_Sectors!J30="",0,Other_Sectors!J30)</f>
        <v/>
      </c>
    </row>
    <row r="42">
      <c r="A42" s="11" t="inlineStr">
        <is>
          <t>Gross Value Added at basic prices (real)</t>
        </is>
      </c>
      <c r="C42" s="13">
        <f>SUM(C26:C41)</f>
        <v/>
      </c>
      <c r="D42" s="13">
        <f>SUM(D26:D41)</f>
        <v/>
      </c>
      <c r="E42" s="13">
        <f>SUM(E26:E41)</f>
        <v/>
      </c>
      <c r="F42" s="13">
        <f>SUM(F26:F41)</f>
        <v/>
      </c>
      <c r="G42" s="13">
        <f>SUM(G26:G41)</f>
        <v/>
      </c>
      <c r="H42" s="13">
        <f>SUM(H26:H41)</f>
        <v/>
      </c>
      <c r="I42" s="13">
        <f>SUM(I26:I41)</f>
        <v/>
      </c>
      <c r="J42" s="13">
        <f>SUM(J26:J41)</f>
        <v/>
      </c>
    </row>
    <row r="43">
      <c r="A43" s="18" t="inlineStr">
        <is>
          <t>Taxes less subsidies, constant prices  [input]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1" t="inlineStr">
        <is>
          <t>GDP at constant prices — REAL</t>
        </is>
      </c>
      <c r="C44" s="13">
        <f>IF(C42=0,"",C42+IF(C43="",0,C43))</f>
        <v/>
      </c>
      <c r="D44" s="13">
        <f>IF(D42=0,"",D42+IF(D43="",0,D43))</f>
        <v/>
      </c>
      <c r="E44" s="13">
        <f>IF(E42=0,"",E42+IF(E43="",0,E43))</f>
        <v/>
      </c>
      <c r="F44" s="13">
        <f>IF(F42=0,"",F42+IF(F43="",0,F43))</f>
        <v/>
      </c>
      <c r="G44" s="13">
        <f>IF(G42=0,"",G42+IF(G43="",0,G43))</f>
        <v/>
      </c>
      <c r="H44" s="13">
        <f>IF(H42=0,"",H42+IF(H43="",0,H43))</f>
        <v/>
      </c>
      <c r="I44" s="13">
        <f>IF(I42=0,"",I42+IF(I43="",0,I43))</f>
        <v/>
      </c>
      <c r="J44" s="13">
        <f>IF(J42=0,"",J42+IF(J43="",0,J43))</f>
        <v/>
      </c>
    </row>
    <row r="46">
      <c r="A46" s="16" t="inlineStr">
        <is>
          <t>INDICATORS</t>
        </is>
      </c>
      <c r="C46" s="17" t="n"/>
      <c r="D46" s="17" t="n"/>
      <c r="E46" s="17" t="n"/>
      <c r="F46" s="17" t="n"/>
      <c r="G46" s="17" t="n"/>
      <c r="H46" s="17" t="n"/>
      <c r="I46" s="17" t="n"/>
      <c r="J46" s="17" t="n"/>
    </row>
    <row r="47">
      <c r="A47" s="18" t="inlineStr">
        <is>
          <t>Real GDP growth (%)</t>
        </is>
      </c>
      <c r="C47" s="19" t="n"/>
      <c r="D47" s="19">
        <f>IF(OR(C44="",D44="",C44=0),"",D44/C44-1)</f>
        <v/>
      </c>
      <c r="E47" s="19">
        <f>IF(OR(D44="",E44="",D44=0),"",E44/D44-1)</f>
        <v/>
      </c>
      <c r="F47" s="19">
        <f>IF(OR(E44="",F44="",E44=0),"",F44/E44-1)</f>
        <v/>
      </c>
      <c r="G47" s="19">
        <f>IF(OR(F44="",G44="",F44=0),"",G44/F44-1)</f>
        <v/>
      </c>
      <c r="H47" s="19">
        <f>IF(OR(G44="",H44="",G44=0),"",H44/G44-1)</f>
        <v/>
      </c>
      <c r="I47" s="19">
        <f>IF(OR(H44="",I44="",H44=0),"",I44/H44-1)</f>
        <v/>
      </c>
      <c r="J47" s="19">
        <f>IF(OR(I44="",J44="",I44=0),"",J44/I44-1)</f>
        <v/>
      </c>
    </row>
    <row r="48">
      <c r="A48" s="18" t="inlineStr">
        <is>
          <t>Nominal GDP growth (%)</t>
        </is>
      </c>
      <c r="C48" s="19" t="n"/>
      <c r="D48" s="19">
        <f>IF(OR(C23="",D23="",C23=0),"",D23/C23-1)</f>
        <v/>
      </c>
      <c r="E48" s="19">
        <f>IF(OR(D23="",E23="",D23=0),"",E23/D23-1)</f>
        <v/>
      </c>
      <c r="F48" s="19">
        <f>IF(OR(E23="",F23="",E23=0),"",F23/E23-1)</f>
        <v/>
      </c>
      <c r="G48" s="19">
        <f>IF(OR(F23="",G23="",F23=0),"",G23/F23-1)</f>
        <v/>
      </c>
      <c r="H48" s="19">
        <f>IF(OR(G23="",H23="",G23=0),"",H23/G23-1)</f>
        <v/>
      </c>
      <c r="I48" s="19">
        <f>IF(OR(H23="",I23="",H23=0),"",I23/H23-1)</f>
        <v/>
      </c>
      <c r="J48" s="19">
        <f>IF(OR(I23="",J23="",I23=0),"",J23/I23-1)</f>
        <v/>
      </c>
    </row>
    <row r="49">
      <c r="A49" s="18" t="inlineStr">
        <is>
          <t>GDP deflator (base year = 100)</t>
        </is>
      </c>
      <c r="C49" s="20">
        <f>IF(OR(C44="",C44=0,C23=""),"",C23/C44*100)</f>
        <v/>
      </c>
      <c r="D49" s="20">
        <f>IF(OR(D44="",D44=0,D23=""),"",D23/D44*100)</f>
        <v/>
      </c>
      <c r="E49" s="20">
        <f>IF(OR(E44="",E44=0,E23=""),"",E23/E44*100)</f>
        <v/>
      </c>
      <c r="F49" s="20">
        <f>IF(OR(F44="",F44=0,F23=""),"",F23/F44*100)</f>
        <v/>
      </c>
      <c r="G49" s="20">
        <f>IF(OR(G44="",G44=0,G23=""),"",G23/G44*100)</f>
        <v/>
      </c>
      <c r="H49" s="20">
        <f>IF(OR(H44="",H44=0,H23=""),"",H23/H44*100)</f>
        <v/>
      </c>
      <c r="I49" s="20">
        <f>IF(OR(I44="",I44=0,I23=""),"",I23/I44*100)</f>
        <v/>
      </c>
      <c r="J49" s="20">
        <f>IF(OR(J44="",J44=0,J23=""),"",J23/J44*100)</f>
        <v/>
      </c>
    </row>
    <row r="50">
      <c r="A50" s="18" t="inlineStr">
        <is>
          <t>Population  [input]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8" t="inlineStr">
        <is>
          <t>Nominal GDP per capita</t>
        </is>
      </c>
      <c r="C51" s="15">
        <f>IF(OR(C50="",C50=0,C23=""),"",C23/C50)</f>
        <v/>
      </c>
      <c r="D51" s="15">
        <f>IF(OR(D50="",D50=0,D23=""),"",D23/D50)</f>
        <v/>
      </c>
      <c r="E51" s="15">
        <f>IF(OR(E50="",E50=0,E23=""),"",E23/E50)</f>
        <v/>
      </c>
      <c r="F51" s="15">
        <f>IF(OR(F50="",F50=0,F23=""),"",F23/F50)</f>
        <v/>
      </c>
      <c r="G51" s="15">
        <f>IF(OR(G50="",G50=0,G23=""),"",G23/G50)</f>
        <v/>
      </c>
      <c r="H51" s="15">
        <f>IF(OR(H50="",H50=0,H23=""),"",H23/H50)</f>
        <v/>
      </c>
      <c r="I51" s="15">
        <f>IF(OR(I50="",I50=0,I23=""),"",I23/I50)</f>
        <v/>
      </c>
      <c r="J51" s="15">
        <f>IF(OR(J50="",J50=0,J23=""),"",J23/J50)</f>
        <v/>
      </c>
    </row>
    <row r="53">
      <c r="A53" s="16" t="inlineStr">
        <is>
          <t>STRUCTURE — share of nominal GVA</t>
        </is>
      </c>
      <c r="C53" s="17" t="n"/>
      <c r="D53" s="17" t="n"/>
      <c r="E53" s="17" t="n"/>
      <c r="F53" s="17" t="n"/>
      <c r="G53" s="17" t="n"/>
      <c r="H53" s="17" t="n"/>
      <c r="I53" s="17" t="n"/>
      <c r="J53" s="17" t="n"/>
    </row>
    <row r="54">
      <c r="A54" s="18" t="inlineStr">
        <is>
          <t>Agriculture &amp; Livestock</t>
        </is>
      </c>
      <c r="C54" s="19">
        <f>IF(C21=0,"",C5/C21)</f>
        <v/>
      </c>
      <c r="D54" s="19">
        <f>IF(D21=0,"",D5/D21)</f>
        <v/>
      </c>
      <c r="E54" s="19">
        <f>IF(E21=0,"",E5/E21)</f>
        <v/>
      </c>
      <c r="F54" s="19">
        <f>IF(F21=0,"",F5/F21)</f>
        <v/>
      </c>
      <c r="G54" s="19">
        <f>IF(G21=0,"",G5/G21)</f>
        <v/>
      </c>
      <c r="H54" s="19">
        <f>IF(H21=0,"",H5/H21)</f>
        <v/>
      </c>
      <c r="I54" s="19">
        <f>IF(I21=0,"",I5/I21)</f>
        <v/>
      </c>
      <c r="J54" s="19">
        <f>IF(J21=0,"",J5/J21)</f>
        <v/>
      </c>
    </row>
    <row r="55">
      <c r="A55" s="18" t="inlineStr">
        <is>
          <t>Forestry</t>
        </is>
      </c>
      <c r="C55" s="19">
        <f>IF(C21=0,"",C6/C21)</f>
        <v/>
      </c>
      <c r="D55" s="19">
        <f>IF(D21=0,"",D6/D21)</f>
        <v/>
      </c>
      <c r="E55" s="19">
        <f>IF(E21=0,"",E6/E21)</f>
        <v/>
      </c>
      <c r="F55" s="19">
        <f>IF(F21=0,"",F6/F21)</f>
        <v/>
      </c>
      <c r="G55" s="19">
        <f>IF(G21=0,"",G6/G21)</f>
        <v/>
      </c>
      <c r="H55" s="19">
        <f>IF(H21=0,"",H6/H21)</f>
        <v/>
      </c>
      <c r="I55" s="19">
        <f>IF(I21=0,"",I6/I21)</f>
        <v/>
      </c>
      <c r="J55" s="19">
        <f>IF(J21=0,"",J6/J21)</f>
        <v/>
      </c>
    </row>
    <row r="56">
      <c r="A56" s="18" t="inlineStr">
        <is>
          <t>Fishing</t>
        </is>
      </c>
      <c r="C56" s="19">
        <f>IF(C21=0,"",C7/C21)</f>
        <v/>
      </c>
      <c r="D56" s="19">
        <f>IF(D21=0,"",D7/D21)</f>
        <v/>
      </c>
      <c r="E56" s="19">
        <f>IF(E21=0,"",E7/E21)</f>
        <v/>
      </c>
      <c r="F56" s="19">
        <f>IF(F21=0,"",F7/F21)</f>
        <v/>
      </c>
      <c r="G56" s="19">
        <f>IF(G21=0,"",G7/G21)</f>
        <v/>
      </c>
      <c r="H56" s="19">
        <f>IF(H21=0,"",H7/H21)</f>
        <v/>
      </c>
      <c r="I56" s="19">
        <f>IF(I21=0,"",I7/I21)</f>
        <v/>
      </c>
      <c r="J56" s="19">
        <f>IF(J21=0,"",J7/J21)</f>
        <v/>
      </c>
    </row>
    <row r="57">
      <c r="A57" s="18" t="inlineStr">
        <is>
          <t>Mining &amp; Quarrying</t>
        </is>
      </c>
      <c r="C57" s="19">
        <f>IF(C21=0,"",C8/C21)</f>
        <v/>
      </c>
      <c r="D57" s="19">
        <f>IF(D21=0,"",D8/D21)</f>
        <v/>
      </c>
      <c r="E57" s="19">
        <f>IF(E21=0,"",E8/E21)</f>
        <v/>
      </c>
      <c r="F57" s="19">
        <f>IF(F21=0,"",F8/F21)</f>
        <v/>
      </c>
      <c r="G57" s="19">
        <f>IF(G21=0,"",G8/G21)</f>
        <v/>
      </c>
      <c r="H57" s="19">
        <f>IF(H21=0,"",H8/H21)</f>
        <v/>
      </c>
      <c r="I57" s="19">
        <f>IF(I21=0,"",I8/I21)</f>
        <v/>
      </c>
      <c r="J57" s="19">
        <f>IF(J21=0,"",J8/J21)</f>
        <v/>
      </c>
    </row>
    <row r="58">
      <c r="A58" s="18" t="inlineStr">
        <is>
          <t>Manufacturing</t>
        </is>
      </c>
      <c r="C58" s="19">
        <f>IF(C21=0,"",C9/C21)</f>
        <v/>
      </c>
      <c r="D58" s="19">
        <f>IF(D21=0,"",D9/D21)</f>
        <v/>
      </c>
      <c r="E58" s="19">
        <f>IF(E21=0,"",E9/E21)</f>
        <v/>
      </c>
      <c r="F58" s="19">
        <f>IF(F21=0,"",F9/F21)</f>
        <v/>
      </c>
      <c r="G58" s="19">
        <f>IF(G21=0,"",G9/G21)</f>
        <v/>
      </c>
      <c r="H58" s="19">
        <f>IF(H21=0,"",H9/H21)</f>
        <v/>
      </c>
      <c r="I58" s="19">
        <f>IF(I21=0,"",I9/I21)</f>
        <v/>
      </c>
      <c r="J58" s="19">
        <f>IF(J21=0,"",J9/J21)</f>
        <v/>
      </c>
    </row>
    <row r="59">
      <c r="A59" s="18" t="inlineStr">
        <is>
          <t>Electricity &amp; Water</t>
        </is>
      </c>
      <c r="C59" s="19">
        <f>IF(C21=0,"",C10/C21)</f>
        <v/>
      </c>
      <c r="D59" s="19">
        <f>IF(D21=0,"",D10/D21)</f>
        <v/>
      </c>
      <c r="E59" s="19">
        <f>IF(E21=0,"",E10/E21)</f>
        <v/>
      </c>
      <c r="F59" s="19">
        <f>IF(F21=0,"",F10/F21)</f>
        <v/>
      </c>
      <c r="G59" s="19">
        <f>IF(G21=0,"",G10/G21)</f>
        <v/>
      </c>
      <c r="H59" s="19">
        <f>IF(H21=0,"",H10/H21)</f>
        <v/>
      </c>
      <c r="I59" s="19">
        <f>IF(I21=0,"",I10/I21)</f>
        <v/>
      </c>
      <c r="J59" s="19">
        <f>IF(J21=0,"",J10/J21)</f>
        <v/>
      </c>
    </row>
    <row r="60">
      <c r="A60" s="18" t="inlineStr">
        <is>
          <t>Construction</t>
        </is>
      </c>
      <c r="C60" s="19">
        <f>IF(C21=0,"",C11/C21)</f>
        <v/>
      </c>
      <c r="D60" s="19">
        <f>IF(D21=0,"",D11/D21)</f>
        <v/>
      </c>
      <c r="E60" s="19">
        <f>IF(E21=0,"",E11/E21)</f>
        <v/>
      </c>
      <c r="F60" s="19">
        <f>IF(F21=0,"",F11/F21)</f>
        <v/>
      </c>
      <c r="G60" s="19">
        <f>IF(G21=0,"",G11/G21)</f>
        <v/>
      </c>
      <c r="H60" s="19">
        <f>IF(H21=0,"",H11/H21)</f>
        <v/>
      </c>
      <c r="I60" s="19">
        <f>IF(I21=0,"",I11/I21)</f>
        <v/>
      </c>
      <c r="J60" s="19">
        <f>IF(J21=0,"",J11/J21)</f>
        <v/>
      </c>
    </row>
    <row r="61">
      <c r="A61" s="18" t="inlineStr">
        <is>
          <t>Wholesale &amp; Retail Trade</t>
        </is>
      </c>
      <c r="C61" s="19">
        <f>IF(C21=0,"",C12/C21)</f>
        <v/>
      </c>
      <c r="D61" s="19">
        <f>IF(D21=0,"",D12/D21)</f>
        <v/>
      </c>
      <c r="E61" s="19">
        <f>IF(E21=0,"",E12/E21)</f>
        <v/>
      </c>
      <c r="F61" s="19">
        <f>IF(F21=0,"",F12/F21)</f>
        <v/>
      </c>
      <c r="G61" s="19">
        <f>IF(G21=0,"",G12/G21)</f>
        <v/>
      </c>
      <c r="H61" s="19">
        <f>IF(H21=0,"",H12/H21)</f>
        <v/>
      </c>
      <c r="I61" s="19">
        <f>IF(I21=0,"",I12/I21)</f>
        <v/>
      </c>
      <c r="J61" s="19">
        <f>IF(J21=0,"",J12/J21)</f>
        <v/>
      </c>
    </row>
    <row r="62">
      <c r="A62" s="18" t="inlineStr">
        <is>
          <t>Transport &amp; Storage</t>
        </is>
      </c>
      <c r="C62" s="19">
        <f>IF(C21=0,"",C13/C21)</f>
        <v/>
      </c>
      <c r="D62" s="19">
        <f>IF(D21=0,"",D13/D21)</f>
        <v/>
      </c>
      <c r="E62" s="19">
        <f>IF(E21=0,"",E13/E21)</f>
        <v/>
      </c>
      <c r="F62" s="19">
        <f>IF(F21=0,"",F13/F21)</f>
        <v/>
      </c>
      <c r="G62" s="19">
        <f>IF(G21=0,"",G13/G21)</f>
        <v/>
      </c>
      <c r="H62" s="19">
        <f>IF(H21=0,"",H13/H21)</f>
        <v/>
      </c>
      <c r="I62" s="19">
        <f>IF(I21=0,"",I13/I21)</f>
        <v/>
      </c>
      <c r="J62" s="19">
        <f>IF(J21=0,"",J13/J21)</f>
        <v/>
      </c>
    </row>
    <row r="63">
      <c r="A63" s="18" t="inlineStr">
        <is>
          <t>Accommodation &amp; Food Services</t>
        </is>
      </c>
      <c r="C63" s="19">
        <f>IF(C21=0,"",C14/C21)</f>
        <v/>
      </c>
      <c r="D63" s="19">
        <f>IF(D21=0,"",D14/D21)</f>
        <v/>
      </c>
      <c r="E63" s="19">
        <f>IF(E21=0,"",E14/E21)</f>
        <v/>
      </c>
      <c r="F63" s="19">
        <f>IF(F21=0,"",F14/F21)</f>
        <v/>
      </c>
      <c r="G63" s="19">
        <f>IF(G21=0,"",G14/G21)</f>
        <v/>
      </c>
      <c r="H63" s="19">
        <f>IF(H21=0,"",H14/H21)</f>
        <v/>
      </c>
      <c r="I63" s="19">
        <f>IF(I21=0,"",I14/I21)</f>
        <v/>
      </c>
      <c r="J63" s="19">
        <f>IF(J21=0,"",J14/J21)</f>
        <v/>
      </c>
    </row>
    <row r="64">
      <c r="A64" s="18" t="inlineStr">
        <is>
          <t>Information &amp; Communication</t>
        </is>
      </c>
      <c r="C64" s="19">
        <f>IF(C21=0,"",C15/C21)</f>
        <v/>
      </c>
      <c r="D64" s="19">
        <f>IF(D21=0,"",D15/D21)</f>
        <v/>
      </c>
      <c r="E64" s="19">
        <f>IF(E21=0,"",E15/E21)</f>
        <v/>
      </c>
      <c r="F64" s="19">
        <f>IF(F21=0,"",F15/F21)</f>
        <v/>
      </c>
      <c r="G64" s="19">
        <f>IF(G21=0,"",G15/G21)</f>
        <v/>
      </c>
      <c r="H64" s="19">
        <f>IF(H21=0,"",H15/H21)</f>
        <v/>
      </c>
      <c r="I64" s="19">
        <f>IF(I21=0,"",I15/I21)</f>
        <v/>
      </c>
      <c r="J64" s="19">
        <f>IF(J21=0,"",J15/J21)</f>
        <v/>
      </c>
    </row>
    <row r="65">
      <c r="A65" s="18" t="inlineStr">
        <is>
          <t>Financial &amp; Insurance Services</t>
        </is>
      </c>
      <c r="C65" s="19">
        <f>IF(C21=0,"",C16/C21)</f>
        <v/>
      </c>
      <c r="D65" s="19">
        <f>IF(D21=0,"",D16/D21)</f>
        <v/>
      </c>
      <c r="E65" s="19">
        <f>IF(E21=0,"",E16/E21)</f>
        <v/>
      </c>
      <c r="F65" s="19">
        <f>IF(F21=0,"",F16/F21)</f>
        <v/>
      </c>
      <c r="G65" s="19">
        <f>IF(G21=0,"",G16/G21)</f>
        <v/>
      </c>
      <c r="H65" s="19">
        <f>IF(H21=0,"",H16/H21)</f>
        <v/>
      </c>
      <c r="I65" s="19">
        <f>IF(I21=0,"",I16/I21)</f>
        <v/>
      </c>
      <c r="J65" s="19">
        <f>IF(J21=0,"",J16/J21)</f>
        <v/>
      </c>
    </row>
    <row r="66">
      <c r="A66" s="18" t="inlineStr">
        <is>
          <t>Real Estate</t>
        </is>
      </c>
      <c r="C66" s="19">
        <f>IF(C21=0,"",C17/C21)</f>
        <v/>
      </c>
      <c r="D66" s="19">
        <f>IF(D21=0,"",D17/D21)</f>
        <v/>
      </c>
      <c r="E66" s="19">
        <f>IF(E21=0,"",E17/E21)</f>
        <v/>
      </c>
      <c r="F66" s="19">
        <f>IF(F21=0,"",F17/F21)</f>
        <v/>
      </c>
      <c r="G66" s="19">
        <f>IF(G21=0,"",G17/G21)</f>
        <v/>
      </c>
      <c r="H66" s="19">
        <f>IF(H21=0,"",H17/H21)</f>
        <v/>
      </c>
      <c r="I66" s="19">
        <f>IF(I21=0,"",I17/I21)</f>
        <v/>
      </c>
      <c r="J66" s="19">
        <f>IF(J21=0,"",J17/J21)</f>
        <v/>
      </c>
    </row>
    <row r="67">
      <c r="A67" s="18" t="inlineStr">
        <is>
          <t>Public Administration</t>
        </is>
      </c>
      <c r="C67" s="19">
        <f>IF(C21=0,"",C18/C21)</f>
        <v/>
      </c>
      <c r="D67" s="19">
        <f>IF(D21=0,"",D18/D21)</f>
        <v/>
      </c>
      <c r="E67" s="19">
        <f>IF(E21=0,"",E18/E21)</f>
        <v/>
      </c>
      <c r="F67" s="19">
        <f>IF(F21=0,"",F18/F21)</f>
        <v/>
      </c>
      <c r="G67" s="19">
        <f>IF(G21=0,"",G18/G21)</f>
        <v/>
      </c>
      <c r="H67" s="19">
        <f>IF(H21=0,"",H18/H21)</f>
        <v/>
      </c>
      <c r="I67" s="19">
        <f>IF(I21=0,"",I18/I21)</f>
        <v/>
      </c>
      <c r="J67" s="19">
        <f>IF(J21=0,"",J18/J21)</f>
        <v/>
      </c>
    </row>
    <row r="68">
      <c r="A68" s="18" t="inlineStr">
        <is>
          <t>Education &amp; Health</t>
        </is>
      </c>
      <c r="C68" s="19">
        <f>IF(C21=0,"",C19/C21)</f>
        <v/>
      </c>
      <c r="D68" s="19">
        <f>IF(D21=0,"",D19/D21)</f>
        <v/>
      </c>
      <c r="E68" s="19">
        <f>IF(E21=0,"",E19/E21)</f>
        <v/>
      </c>
      <c r="F68" s="19">
        <f>IF(F21=0,"",F19/F21)</f>
        <v/>
      </c>
      <c r="G68" s="19">
        <f>IF(G21=0,"",G19/G21)</f>
        <v/>
      </c>
      <c r="H68" s="19">
        <f>IF(H21=0,"",H19/H21)</f>
        <v/>
      </c>
      <c r="I68" s="19">
        <f>IF(I21=0,"",I19/I21)</f>
        <v/>
      </c>
      <c r="J68" s="19">
        <f>IF(J21=0,"",J19/J21)</f>
        <v/>
      </c>
    </row>
    <row r="69">
      <c r="A69" s="18" t="inlineStr">
        <is>
          <t>Other Services</t>
        </is>
      </c>
      <c r="C69" s="19">
        <f>IF(C21=0,"",C20/C21)</f>
        <v/>
      </c>
      <c r="D69" s="19">
        <f>IF(D21=0,"",D20/D21)</f>
        <v/>
      </c>
      <c r="E69" s="19">
        <f>IF(E21=0,"",E20/E21)</f>
        <v/>
      </c>
      <c r="F69" s="19">
        <f>IF(F21=0,"",F20/F21)</f>
        <v/>
      </c>
      <c r="G69" s="19">
        <f>IF(G21=0,"",G20/G21)</f>
        <v/>
      </c>
      <c r="H69" s="19">
        <f>IF(H21=0,"",H20/H21)</f>
        <v/>
      </c>
      <c r="I69" s="19">
        <f>IF(I21=0,"",I20/I21)</f>
        <v/>
      </c>
      <c r="J69" s="19">
        <f>IF(J21=0,"",J20/J21)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2026-07-16T00:40:06Z</dcterms:created>
  <dcterms:modified xsi:type="dcterms:W3CDTF">2026-07-16T00:40:06Z</dcterms:modified>
</cp:coreProperties>
</file>